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zbe\Desktop\AI-Based\New folder (2)\Name Edited\New folder\final\1sup\"/>
    </mc:Choice>
  </mc:AlternateContent>
  <bookViews>
    <workbookView xWindow="0" yWindow="0" windowWidth="28800" windowHeight="12330" tabRatio="500"/>
  </bookViews>
  <sheets>
    <sheet name="README" sheetId="1" r:id="rId1"/>
    <sheet name="Data" sheetId="2" r:id="rId2"/>
  </sheets>
  <definedNames>
    <definedName name="_xlnm._FilterDatabase" localSheetId="1" hidden="1">Data!$A$1:$K$89</definedName>
    <definedName name="_xlnm.Print_Titles" localSheetId="1">Data!$1:$1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9" i="2" l="1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C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D29" i="1" s="1"/>
  <c r="E29" i="1" l="1"/>
</calcChain>
</file>

<file path=xl/sharedStrings.xml><?xml version="1.0" encoding="utf-8"?>
<sst xmlns="http://schemas.openxmlformats.org/spreadsheetml/2006/main" count="353" uniqueCount="136">
  <si>
    <t>Supplementary Data</t>
  </si>
  <si>
    <t>AI-Based Research Assistants: A Task-Oriented Review of Capability, Risk and Ethical Governance in Scientific Research</t>
  </si>
  <si>
    <t>Second-pass scoring of the 88-cell reliability subsample (Section 3.6; Tables 2, 6a and 6b of the main text)</t>
  </si>
  <si>
    <t>1. Purpose and scope</t>
  </si>
  <si>
    <t>What this file contains</t>
  </si>
  <si>
    <t>Cell-level data for the intra-rater reliability check: for each of 88 sampled tool-task cells, the first-pass Final score and the second-pass sub-factor scores (S, C, E, V) and Final score. These are the only data in the study that are not reproducible from the main-text tables.</t>
  </si>
  <si>
    <t>What it does not contain</t>
  </si>
  <si>
    <t>The full 49 x 12 score matrix is not tabulated here. Every one of its 588 cells is determined by Table 4 (task-to-category assignment), Table 5 (category-level default scores) and Table 6 (22 task-level exceptions) through the assembly rule of Section 3.5.6.</t>
  </si>
  <si>
    <t>Sheets</t>
  </si>
  <si>
    <t>README (this sheet); Data (88 rows, one per sampled cell).</t>
  </si>
  <si>
    <t>2. Sampling and scoring procedure</t>
  </si>
  <si>
    <t>Sampling frame</t>
  </si>
  <si>
    <t>All 588 cells of the 49 tasks x 12 tools matrix (Section 3.5).</t>
  </si>
  <si>
    <t>Sample</t>
  </si>
  <si>
    <t>n = 88 (15% of 588). Random sample, stratified by the ten task categories, with proportional allocation by the Largest Remainder method (table below). The random seed was not recorded; the sampled cells are listed in full in sheet Data.</t>
  </si>
  <si>
    <t>First pass (Pass 1)</t>
  </si>
  <si>
    <t>Final score (1-5) recorded at the time of the original scoring and used in the matrix (category-level default or documented exception). Pass 1 sub-factor values exist only for documented exceptions (Table 6); of the 88 sampled cells, only IDs 25, 51 and 75 are exceptions, and their Pass 1 vectors (2/2/1/1, 2/2/1/1 and 2/1/2/2) are identical to the Pass 2 vectors in sheet Data.</t>
  </si>
  <si>
    <t>Second pass (Pass 2)</t>
  </si>
  <si>
    <t>Sub-factors S, C, E and V (0-2 each) were re-derived for each cell from the task name and tool name alone, without consulting the Pass 1 value; the Final score was obtained from their sum with the mapping below. Both passes were carried out by the same rater in the same session, so agreement quantifies same-session consistency, not test-retest reliability.</t>
  </si>
  <si>
    <t>Rater</t>
  </si>
  <si>
    <t>Single rater (the author). No second independent rater has scored any part of the matrix.</t>
  </si>
  <si>
    <t>3. Allocation of the sample to task categories</t>
  </si>
  <si>
    <t>Category (order of Table 4)</t>
  </si>
  <si>
    <t>Tasks in category</t>
  </si>
  <si>
    <t>Cells in matrix (tasks x 12)</t>
  </si>
  <si>
    <t>Cells sampled</t>
  </si>
  <si>
    <t>Ideation and problem formulation</t>
  </si>
  <si>
    <t>Discovery and research-gap identification</t>
  </si>
  <si>
    <t>Literature synthesis</t>
  </si>
  <si>
    <t>Structured extraction</t>
  </si>
  <si>
    <t>Research design</t>
  </si>
  <si>
    <t>Quantitative analysis</t>
  </si>
  <si>
    <t>Coding</t>
  </si>
  <si>
    <t>Academic writing</t>
  </si>
  <si>
    <t>Adversarial review and quality control</t>
  </si>
  <si>
    <t>Verification and integrity</t>
  </si>
  <si>
    <t>Total</t>
  </si>
  <si>
    <t>4. Column definitions (sheet Data)</t>
  </si>
  <si>
    <t>ID</t>
  </si>
  <si>
    <t>Running number of the sampled cell (1-88).</t>
  </si>
  <si>
    <t>Task / Category / Tool</t>
  </si>
  <si>
    <t>The sampled tool-task cell. Task and category names follow Table 4; tool names follow Table 5.</t>
  </si>
  <si>
    <t>Pass1_Final</t>
  </si>
  <si>
    <t>First-pass Final score (1-5) as recorded in the matrix.</t>
  </si>
  <si>
    <t>Pass2_S</t>
  </si>
  <si>
    <t>Design suitability, second pass: 0 = task entirely outside the tool's design scope; 1 = adjacent capability applied indirectly; 2 = core, explicitly stated function.</t>
  </si>
  <si>
    <t>Pass2_C</t>
  </si>
  <si>
    <t>Native capability, second pass: 0 = output unusable without extensive rewriting; 1 = acceptable draft needing noticeable correction; 2 = near-final output needing only stylistic review.</t>
  </si>
  <si>
    <t>Pass2_E</t>
  </si>
  <si>
    <t>Evidence strength, second pass: 0 = only vendor claims or scattered anecdotes; 1 = independent non-experimental comparative evidence; 2 = independent benchmark or peer-reviewed study. Note: E = 1 in 84 of the 88 cells; E = 2 in 4 (all Semantic Scholar); E = 0 in none.</t>
  </si>
  <si>
    <t>Pass2_V</t>
  </si>
  <si>
    <t>Verification burden, second pass: 0 = every claim must be verified exhaustively; 1 = spot-check sufficient; 2 = output largely self-verifying owing to the tool's architecture. Note: V = 2 was also assigned to out-of-scope pairs with S = C = 0, where no output exists to verify (see Section 3.4.3).</t>
  </si>
  <si>
    <t>Pass2_Raw</t>
  </si>
  <si>
    <t>Sum S + C + E + V (formula; range 0-8).</t>
  </si>
  <si>
    <t>Pass2_Final</t>
  </si>
  <si>
    <t>Second-pass Final score (1-5) obtained from Pass2_Raw with the mapping below.</t>
  </si>
  <si>
    <t>5. Mapping from raw score to Final score (Section 3.5.2)</t>
  </si>
  <si>
    <t>Raw score (S+C+E+V)</t>
  </si>
  <si>
    <t>Final score (1-5) and label</t>
  </si>
  <si>
    <t>0-1</t>
  </si>
  <si>
    <t>1 (very poor)</t>
  </si>
  <si>
    <t>2-3</t>
  </si>
  <si>
    <t>2 (poor)</t>
  </si>
  <si>
    <t>4-5</t>
  </si>
  <si>
    <t>3 (moderate)</t>
  </si>
  <si>
    <t>6-7</t>
  </si>
  <si>
    <t>4 (good)</t>
  </si>
  <si>
    <t>8</t>
  </si>
  <si>
    <t>5 (excellent)</t>
  </si>
  <si>
    <t>6. Notes on use</t>
  </si>
  <si>
    <t>Reproducing the statistics</t>
  </si>
  <si>
    <t>Agreement statistics (Section 3.6) use Pass1_Final and Pass2_Final. Table 2 (Spearman correlations) and Table 6a (weighting sensitivity) use Pass2_S, Pass2_C, Pass2_E and Pass2_V. Table 6b gives the distribution of these four columns.</t>
  </si>
  <si>
    <t>Caveats</t>
  </si>
  <si>
    <t>Pass 2 sub-factors are the only complete S/C/E/V decomposition available for any cells other than the 22 exceptions. The sample is stratified but small, and Pass 1 and Pass 2 were not obtained independently of the same rater; see Sections 3.6 and 14 of the main text.</t>
  </si>
  <si>
    <t>Date of file</t>
  </si>
  <si>
    <t>October 2026.</t>
  </si>
  <si>
    <t>Task</t>
  </si>
  <si>
    <t>Category</t>
  </si>
  <si>
    <t>Tool</t>
  </si>
  <si>
    <t>Research-topic formulation</t>
  </si>
  <si>
    <t>Semantic Scholar</t>
  </si>
  <si>
    <t>Research-question formulation</t>
  </si>
  <si>
    <t>Brainstorming</t>
  </si>
  <si>
    <t>Connected Papers</t>
  </si>
  <si>
    <t>Novelty pre-screening</t>
  </si>
  <si>
    <t>Consensus</t>
  </si>
  <si>
    <t>NotebookLM</t>
  </si>
  <si>
    <t>SciSpace</t>
  </si>
  <si>
    <t>Research-gap identification</t>
  </si>
  <si>
    <t>Literature search</t>
  </si>
  <si>
    <t>Literature screening</t>
  </si>
  <si>
    <t>Perplexity</t>
  </si>
  <si>
    <t>scite.ai</t>
  </si>
  <si>
    <t>Elicit</t>
  </si>
  <si>
    <t>Related-work synthesis</t>
  </si>
  <si>
    <t>Comparing papers</t>
  </si>
  <si>
    <t>Literature-review writing</t>
  </si>
  <si>
    <t>ResearchRabbit</t>
  </si>
  <si>
    <t>Dataset extraction</t>
  </si>
  <si>
    <t>LeapSpace</t>
  </si>
  <si>
    <t>Baseline selection</t>
  </si>
  <si>
    <t>Claude</t>
  </si>
  <si>
    <t>Methodology extraction</t>
  </si>
  <si>
    <t>Metrics extraction</t>
  </si>
  <si>
    <t>Experiment design</t>
  </si>
  <si>
    <t>Architecture design</t>
  </si>
  <si>
    <t>Methodology design</t>
  </si>
  <si>
    <t>Algorithm selection</t>
  </si>
  <si>
    <t>Dataset selection</t>
  </si>
  <si>
    <t>Ablation-study design</t>
  </si>
  <si>
    <t>Results analysis</t>
  </si>
  <si>
    <t>Table analysis</t>
  </si>
  <si>
    <t>Statistical analysis</t>
  </si>
  <si>
    <t>Figure analysis</t>
  </si>
  <si>
    <t>Debugging</t>
  </si>
  <si>
    <t>Optimization</t>
  </si>
  <si>
    <t>Code documentation</t>
  </si>
  <si>
    <t>Code review</t>
  </si>
  <si>
    <t>ChatGPT</t>
  </si>
  <si>
    <t>Conclusion writing</t>
  </si>
  <si>
    <t>Methodology writing</t>
  </si>
  <si>
    <t>Introduction writing</t>
  </si>
  <si>
    <t>Academic paraphrasing</t>
  </si>
  <si>
    <t>Grammar editing</t>
  </si>
  <si>
    <t>Final quality control</t>
  </si>
  <si>
    <t>Reviewer-style critique</t>
  </si>
  <si>
    <t>Weakness detection</t>
  </si>
  <si>
    <t>Response-to-reviewers drafting</t>
  </si>
  <si>
    <t>Reference-list auditing</t>
  </si>
  <si>
    <t>Reproducibility auditing</t>
  </si>
  <si>
    <t>Dataset-provenance checking</t>
  </si>
  <si>
    <t>AI-disclosure integrity</t>
  </si>
  <si>
    <t>Code-execution verification</t>
  </si>
  <si>
    <t>Experimental-leakage checking</t>
  </si>
  <si>
    <t>https://github.com/RoozbehPourjahan/Excel-Supplementaries.</t>
  </si>
  <si>
    <t>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</si>
</sst>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vertical="top" wrapText="1"/>
    </xf>
    <xf numFmtId="0" fontId="3" fillId="2" borderId="0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0" borderId="0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ozbehPourjahan/Excel-Supplementaries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showGridLines="0" tabSelected="1" zoomScaleNormal="100" workbookViewId="0">
      <selection activeCell="D57" sqref="D57"/>
    </sheetView>
  </sheetViews>
  <sheetFormatPr defaultColWidth="8.7109375" defaultRowHeight="15" x14ac:dyDescent="0.25"/>
  <cols>
    <col min="1" max="1" width="34" customWidth="1"/>
    <col min="2" max="2" width="50" customWidth="1"/>
    <col min="3" max="5" width="16" customWidth="1"/>
  </cols>
  <sheetData>
    <row r="1" spans="1:5" ht="18" x14ac:dyDescent="0.25">
      <c r="A1" s="1" t="s">
        <v>0</v>
      </c>
    </row>
    <row r="2" spans="1:5" x14ac:dyDescent="0.25">
      <c r="A2" s="14" t="s">
        <v>1</v>
      </c>
      <c r="B2" s="14"/>
      <c r="C2" s="14"/>
      <c r="D2" s="14"/>
      <c r="E2" s="14"/>
    </row>
    <row r="3" spans="1:5" x14ac:dyDescent="0.25">
      <c r="A3" s="14" t="s">
        <v>2</v>
      </c>
      <c r="B3" s="14"/>
      <c r="C3" s="14"/>
      <c r="D3" s="14"/>
      <c r="E3" s="14"/>
    </row>
    <row r="5" spans="1:5" x14ac:dyDescent="0.25">
      <c r="A5" s="10" t="s">
        <v>3</v>
      </c>
      <c r="B5" s="10"/>
      <c r="C5" s="10"/>
      <c r="D5" s="10"/>
      <c r="E5" s="10"/>
    </row>
    <row r="6" spans="1:5" ht="35.1" customHeight="1" x14ac:dyDescent="0.25">
      <c r="A6" s="2" t="s">
        <v>4</v>
      </c>
      <c r="B6" s="9" t="s">
        <v>5</v>
      </c>
      <c r="C6" s="9"/>
      <c r="D6" s="9"/>
      <c r="E6" s="9"/>
    </row>
    <row r="7" spans="1:5" ht="48" customHeight="1" x14ac:dyDescent="0.25">
      <c r="A7" s="2" t="s">
        <v>6</v>
      </c>
      <c r="B7" s="9" t="s">
        <v>7</v>
      </c>
      <c r="C7" s="9"/>
      <c r="D7" s="9"/>
      <c r="E7" s="9"/>
    </row>
    <row r="8" spans="1:5" ht="15" customHeight="1" x14ac:dyDescent="0.25">
      <c r="A8" s="2" t="s">
        <v>8</v>
      </c>
      <c r="B8" s="9" t="s">
        <v>9</v>
      </c>
      <c r="C8" s="9"/>
      <c r="D8" s="9"/>
      <c r="E8" s="9"/>
    </row>
    <row r="10" spans="1:5" x14ac:dyDescent="0.25">
      <c r="A10" s="10" t="s">
        <v>10</v>
      </c>
      <c r="B10" s="10"/>
      <c r="C10" s="10"/>
      <c r="D10" s="10"/>
      <c r="E10" s="10"/>
    </row>
    <row r="11" spans="1:5" ht="15" customHeight="1" x14ac:dyDescent="0.25">
      <c r="A11" s="2" t="s">
        <v>11</v>
      </c>
      <c r="B11" s="9" t="s">
        <v>12</v>
      </c>
      <c r="C11" s="9"/>
      <c r="D11" s="9"/>
      <c r="E11" s="9"/>
    </row>
    <row r="12" spans="1:5" ht="50.25" customHeight="1" x14ac:dyDescent="0.25">
      <c r="A12" s="2" t="s">
        <v>13</v>
      </c>
      <c r="B12" s="9" t="s">
        <v>14</v>
      </c>
      <c r="C12" s="9"/>
      <c r="D12" s="9"/>
      <c r="E12" s="9"/>
    </row>
    <row r="13" spans="1:5" ht="56.25" customHeight="1" x14ac:dyDescent="0.25">
      <c r="A13" s="2" t="s">
        <v>15</v>
      </c>
      <c r="B13" s="9" t="s">
        <v>16</v>
      </c>
      <c r="C13" s="9"/>
      <c r="D13" s="9"/>
      <c r="E13" s="9"/>
    </row>
    <row r="14" spans="1:5" ht="61.5" customHeight="1" x14ac:dyDescent="0.25">
      <c r="A14" s="2" t="s">
        <v>17</v>
      </c>
      <c r="B14" s="9" t="s">
        <v>18</v>
      </c>
      <c r="C14" s="9"/>
      <c r="D14" s="9"/>
      <c r="E14" s="9"/>
    </row>
    <row r="15" spans="1:5" ht="15" customHeight="1" x14ac:dyDescent="0.25">
      <c r="A15" s="2" t="s">
        <v>19</v>
      </c>
      <c r="B15" s="9" t="s">
        <v>20</v>
      </c>
      <c r="C15" s="9"/>
      <c r="D15" s="9"/>
      <c r="E15" s="9"/>
    </row>
    <row r="17" spans="1:5" x14ac:dyDescent="0.25">
      <c r="A17" s="10" t="s">
        <v>21</v>
      </c>
      <c r="B17" s="10"/>
      <c r="C17" s="10"/>
      <c r="D17" s="10"/>
      <c r="E17" s="10"/>
    </row>
    <row r="18" spans="1:5" ht="30" customHeight="1" x14ac:dyDescent="0.25">
      <c r="A18" s="13" t="s">
        <v>22</v>
      </c>
      <c r="B18" s="13"/>
      <c r="C18" s="3" t="s">
        <v>23</v>
      </c>
      <c r="D18" s="3" t="s">
        <v>24</v>
      </c>
      <c r="E18" s="3" t="s">
        <v>25</v>
      </c>
    </row>
    <row r="19" spans="1:5" x14ac:dyDescent="0.25">
      <c r="A19" s="11" t="s">
        <v>26</v>
      </c>
      <c r="B19" s="11"/>
      <c r="C19" s="5">
        <v>4</v>
      </c>
      <c r="D19" s="5">
        <f t="shared" ref="D19:D28" si="0">C19*12</f>
        <v>48</v>
      </c>
      <c r="E19" s="5">
        <f>COUNTIF(Data!$C$2:$C$89,A19)</f>
        <v>7</v>
      </c>
    </row>
    <row r="20" spans="1:5" x14ac:dyDescent="0.25">
      <c r="A20" s="11" t="s">
        <v>27</v>
      </c>
      <c r="B20" s="11"/>
      <c r="C20" s="5">
        <v>3</v>
      </c>
      <c r="D20" s="5">
        <f t="shared" si="0"/>
        <v>36</v>
      </c>
      <c r="E20" s="5">
        <f>COUNTIF(Data!$C$2:$C$89,A20)</f>
        <v>6</v>
      </c>
    </row>
    <row r="21" spans="1:5" x14ac:dyDescent="0.25">
      <c r="A21" s="11" t="s">
        <v>28</v>
      </c>
      <c r="B21" s="11"/>
      <c r="C21" s="5">
        <v>3</v>
      </c>
      <c r="D21" s="5">
        <f t="shared" si="0"/>
        <v>36</v>
      </c>
      <c r="E21" s="5">
        <f>COUNTIF(Data!$C$2:$C$89,A21)</f>
        <v>6</v>
      </c>
    </row>
    <row r="22" spans="1:5" x14ac:dyDescent="0.25">
      <c r="A22" s="11" t="s">
        <v>29</v>
      </c>
      <c r="B22" s="11"/>
      <c r="C22" s="5">
        <v>4</v>
      </c>
      <c r="D22" s="5">
        <f t="shared" si="0"/>
        <v>48</v>
      </c>
      <c r="E22" s="5">
        <f>COUNTIF(Data!$C$2:$C$89,A22)</f>
        <v>7</v>
      </c>
    </row>
    <row r="23" spans="1:5" x14ac:dyDescent="0.25">
      <c r="A23" s="11" t="s">
        <v>30</v>
      </c>
      <c r="B23" s="11"/>
      <c r="C23" s="5">
        <v>6</v>
      </c>
      <c r="D23" s="5">
        <f t="shared" si="0"/>
        <v>72</v>
      </c>
      <c r="E23" s="5">
        <f>COUNTIF(Data!$C$2:$C$89,A23)</f>
        <v>11</v>
      </c>
    </row>
    <row r="24" spans="1:5" x14ac:dyDescent="0.25">
      <c r="A24" s="11" t="s">
        <v>31</v>
      </c>
      <c r="B24" s="11"/>
      <c r="C24" s="5">
        <v>4</v>
      </c>
      <c r="D24" s="5">
        <f t="shared" si="0"/>
        <v>48</v>
      </c>
      <c r="E24" s="5">
        <f>COUNTIF(Data!$C$2:$C$89,A24)</f>
        <v>7</v>
      </c>
    </row>
    <row r="25" spans="1:5" x14ac:dyDescent="0.25">
      <c r="A25" s="11" t="s">
        <v>32</v>
      </c>
      <c r="B25" s="11"/>
      <c r="C25" s="5">
        <v>5</v>
      </c>
      <c r="D25" s="5">
        <f t="shared" si="0"/>
        <v>60</v>
      </c>
      <c r="E25" s="5">
        <f>COUNTIF(Data!$C$2:$C$89,A25)</f>
        <v>9</v>
      </c>
    </row>
    <row r="26" spans="1:5" x14ac:dyDescent="0.25">
      <c r="A26" s="11" t="s">
        <v>33</v>
      </c>
      <c r="B26" s="11"/>
      <c r="C26" s="5">
        <v>8</v>
      </c>
      <c r="D26" s="5">
        <f t="shared" si="0"/>
        <v>96</v>
      </c>
      <c r="E26" s="5">
        <f>COUNTIF(Data!$C$2:$C$89,A26)</f>
        <v>14</v>
      </c>
    </row>
    <row r="27" spans="1:5" x14ac:dyDescent="0.25">
      <c r="A27" s="11" t="s">
        <v>34</v>
      </c>
      <c r="B27" s="11"/>
      <c r="C27" s="5">
        <v>4</v>
      </c>
      <c r="D27" s="5">
        <f t="shared" si="0"/>
        <v>48</v>
      </c>
      <c r="E27" s="5">
        <f>COUNTIF(Data!$C$2:$C$89,A27)</f>
        <v>7</v>
      </c>
    </row>
    <row r="28" spans="1:5" x14ac:dyDescent="0.25">
      <c r="A28" s="11" t="s">
        <v>35</v>
      </c>
      <c r="B28" s="11"/>
      <c r="C28" s="5">
        <v>8</v>
      </c>
      <c r="D28" s="5">
        <f t="shared" si="0"/>
        <v>96</v>
      </c>
      <c r="E28" s="5">
        <f>COUNTIF(Data!$C$2:$C$89,A28)</f>
        <v>14</v>
      </c>
    </row>
    <row r="29" spans="1:5" x14ac:dyDescent="0.25">
      <c r="A29" s="12" t="s">
        <v>36</v>
      </c>
      <c r="B29" s="12"/>
      <c r="C29" s="6">
        <f>SUM(C19:C28)</f>
        <v>49</v>
      </c>
      <c r="D29" s="6">
        <f>SUM(D19:D28)</f>
        <v>588</v>
      </c>
      <c r="E29" s="6">
        <f>SUM(E19:E28)</f>
        <v>88</v>
      </c>
    </row>
    <row r="31" spans="1:5" x14ac:dyDescent="0.25">
      <c r="A31" s="10" t="s">
        <v>37</v>
      </c>
      <c r="B31" s="10"/>
      <c r="C31" s="10"/>
      <c r="D31" s="10"/>
      <c r="E31" s="10"/>
    </row>
    <row r="32" spans="1:5" ht="15" customHeight="1" x14ac:dyDescent="0.25">
      <c r="A32" s="2" t="s">
        <v>38</v>
      </c>
      <c r="B32" s="9" t="s">
        <v>39</v>
      </c>
      <c r="C32" s="9"/>
      <c r="D32" s="9"/>
      <c r="E32" s="9"/>
    </row>
    <row r="33" spans="1:5" ht="15" customHeight="1" x14ac:dyDescent="0.25">
      <c r="A33" s="2" t="s">
        <v>40</v>
      </c>
      <c r="B33" s="9" t="s">
        <v>41</v>
      </c>
      <c r="C33" s="9"/>
      <c r="D33" s="9"/>
      <c r="E33" s="9"/>
    </row>
    <row r="34" spans="1:5" ht="15" customHeight="1" x14ac:dyDescent="0.25">
      <c r="A34" s="2" t="s">
        <v>42</v>
      </c>
      <c r="B34" s="9" t="s">
        <v>43</v>
      </c>
      <c r="C34" s="9"/>
      <c r="D34" s="9"/>
      <c r="E34" s="9"/>
    </row>
    <row r="35" spans="1:5" ht="23.85" customHeight="1" x14ac:dyDescent="0.25">
      <c r="A35" s="2" t="s">
        <v>44</v>
      </c>
      <c r="B35" s="9" t="s">
        <v>45</v>
      </c>
      <c r="C35" s="9"/>
      <c r="D35" s="9"/>
      <c r="E35" s="9"/>
    </row>
    <row r="36" spans="1:5" ht="23.85" customHeight="1" x14ac:dyDescent="0.25">
      <c r="A36" s="2" t="s">
        <v>46</v>
      </c>
      <c r="B36" s="9" t="s">
        <v>47</v>
      </c>
      <c r="C36" s="9"/>
      <c r="D36" s="9"/>
      <c r="E36" s="9"/>
    </row>
    <row r="37" spans="1:5" ht="43.5" customHeight="1" x14ac:dyDescent="0.25">
      <c r="A37" s="2" t="s">
        <v>48</v>
      </c>
      <c r="B37" s="9" t="s">
        <v>49</v>
      </c>
      <c r="C37" s="9"/>
      <c r="D37" s="9"/>
      <c r="E37" s="9"/>
    </row>
    <row r="38" spans="1:5" ht="50.25" customHeight="1" x14ac:dyDescent="0.25">
      <c r="A38" s="2" t="s">
        <v>50</v>
      </c>
      <c r="B38" s="9" t="s">
        <v>51</v>
      </c>
      <c r="C38" s="9"/>
      <c r="D38" s="9"/>
      <c r="E38" s="9"/>
    </row>
    <row r="39" spans="1:5" ht="15" customHeight="1" x14ac:dyDescent="0.25">
      <c r="A39" s="2" t="s">
        <v>52</v>
      </c>
      <c r="B39" s="9" t="s">
        <v>53</v>
      </c>
      <c r="C39" s="9"/>
      <c r="D39" s="9"/>
      <c r="E39" s="9"/>
    </row>
    <row r="40" spans="1:5" ht="15" customHeight="1" x14ac:dyDescent="0.25">
      <c r="A40" s="2" t="s">
        <v>54</v>
      </c>
      <c r="B40" s="9" t="s">
        <v>55</v>
      </c>
      <c r="C40" s="9"/>
      <c r="D40" s="9"/>
      <c r="E40" s="9"/>
    </row>
    <row r="42" spans="1:5" x14ac:dyDescent="0.25">
      <c r="A42" s="10" t="s">
        <v>56</v>
      </c>
      <c r="B42" s="10"/>
      <c r="C42" s="10"/>
      <c r="D42" s="10"/>
      <c r="E42" s="10"/>
    </row>
    <row r="43" spans="1:5" x14ac:dyDescent="0.25">
      <c r="A43" s="7" t="s">
        <v>57</v>
      </c>
      <c r="B43" s="7" t="s">
        <v>58</v>
      </c>
    </row>
    <row r="44" spans="1:5" x14ac:dyDescent="0.25">
      <c r="A44" s="5" t="s">
        <v>59</v>
      </c>
      <c r="B44" s="8" t="s">
        <v>60</v>
      </c>
    </row>
    <row r="45" spans="1:5" x14ac:dyDescent="0.25">
      <c r="A45" s="5" t="s">
        <v>61</v>
      </c>
      <c r="B45" s="8" t="s">
        <v>62</v>
      </c>
    </row>
    <row r="46" spans="1:5" x14ac:dyDescent="0.25">
      <c r="A46" s="5" t="s">
        <v>63</v>
      </c>
      <c r="B46" s="8" t="s">
        <v>64</v>
      </c>
    </row>
    <row r="47" spans="1:5" x14ac:dyDescent="0.25">
      <c r="A47" s="5" t="s">
        <v>65</v>
      </c>
      <c r="B47" s="8" t="s">
        <v>66</v>
      </c>
    </row>
    <row r="48" spans="1:5" x14ac:dyDescent="0.25">
      <c r="A48" s="5" t="s">
        <v>67</v>
      </c>
      <c r="B48" s="8" t="s">
        <v>68</v>
      </c>
    </row>
    <row r="50" spans="1:5" x14ac:dyDescent="0.25">
      <c r="A50" s="10" t="s">
        <v>69</v>
      </c>
      <c r="B50" s="10"/>
      <c r="C50" s="10"/>
      <c r="D50" s="10"/>
      <c r="E50" s="10"/>
    </row>
    <row r="51" spans="1:5" ht="45.75" customHeight="1" x14ac:dyDescent="0.25">
      <c r="A51" s="2" t="s">
        <v>70</v>
      </c>
      <c r="B51" s="9" t="s">
        <v>71</v>
      </c>
      <c r="C51" s="9"/>
      <c r="D51" s="9"/>
      <c r="E51" s="9"/>
    </row>
    <row r="52" spans="1:5" ht="66.75" customHeight="1" x14ac:dyDescent="0.25">
      <c r="A52" s="2" t="s">
        <v>72</v>
      </c>
      <c r="B52" s="9" t="s">
        <v>73</v>
      </c>
      <c r="C52" s="9"/>
      <c r="D52" s="9"/>
      <c r="E52" s="9"/>
    </row>
    <row r="53" spans="1:5" hidden="1" x14ac:dyDescent="0.25"/>
    <row r="54" spans="1:5" x14ac:dyDescent="0.25">
      <c r="A54" s="2" t="s">
        <v>135</v>
      </c>
      <c r="B54" s="15" t="s">
        <v>134</v>
      </c>
      <c r="C54" s="9"/>
      <c r="D54" s="9"/>
      <c r="E54" s="9"/>
    </row>
    <row r="55" spans="1:5" ht="15" customHeight="1" x14ac:dyDescent="0.25">
      <c r="A55" s="2" t="s">
        <v>74</v>
      </c>
      <c r="B55" s="9" t="s">
        <v>75</v>
      </c>
      <c r="C55" s="9"/>
      <c r="D55" s="9"/>
      <c r="E55" s="9"/>
    </row>
    <row r="56" spans="1:5" ht="15" customHeight="1" x14ac:dyDescent="0.25"/>
    <row r="57" spans="1:5" ht="15" customHeight="1" x14ac:dyDescent="0.25"/>
    <row r="58" spans="1:5" ht="15" customHeight="1" x14ac:dyDescent="0.25"/>
  </sheetData>
  <mergeCells count="41">
    <mergeCell ref="A2:E2"/>
    <mergeCell ref="A3:E3"/>
    <mergeCell ref="A5:E5"/>
    <mergeCell ref="B6:E6"/>
    <mergeCell ref="B7:E7"/>
    <mergeCell ref="B8:E8"/>
    <mergeCell ref="A10:E10"/>
    <mergeCell ref="B11:E11"/>
    <mergeCell ref="B12:E12"/>
    <mergeCell ref="B13:E13"/>
    <mergeCell ref="B14:E14"/>
    <mergeCell ref="B15:E15"/>
    <mergeCell ref="A17:E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54:E54"/>
    <mergeCell ref="B55:E55"/>
    <mergeCell ref="A42:E42"/>
    <mergeCell ref="A50:E50"/>
    <mergeCell ref="B51:E51"/>
    <mergeCell ref="B52:E52"/>
  </mergeCells>
  <hyperlinks>
    <hyperlink ref="B54" r:id="rId1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Views>
    <sheetView zoomScaleNormal="100" workbookViewId="0">
      <pane xSplit="4" ySplit="1" topLeftCell="E65" activePane="bottomRight" state="frozen"/>
      <selection pane="topRight" activeCell="E1" sqref="E1"/>
      <selection pane="bottomLeft" activeCell="A2" sqref="A2"/>
      <selection pane="bottomRight"/>
    </sheetView>
  </sheetViews>
  <sheetFormatPr defaultColWidth="8.7109375" defaultRowHeight="15" x14ac:dyDescent="0.25"/>
  <cols>
    <col min="1" max="1" width="6" customWidth="1"/>
    <col min="2" max="2" width="34" customWidth="1"/>
    <col min="3" max="3" width="42" customWidth="1"/>
    <col min="4" max="4" width="18" customWidth="1"/>
    <col min="5" max="5" width="12" customWidth="1"/>
    <col min="6" max="9" width="10" customWidth="1"/>
    <col min="10" max="10" width="11" customWidth="1"/>
    <col min="11" max="11" width="12" customWidth="1"/>
  </cols>
  <sheetData>
    <row r="1" spans="1:11" ht="30" customHeight="1" x14ac:dyDescent="0.25">
      <c r="A1" s="3" t="s">
        <v>38</v>
      </c>
      <c r="B1" s="3" t="s">
        <v>76</v>
      </c>
      <c r="C1" s="3" t="s">
        <v>77</v>
      </c>
      <c r="D1" s="3" t="s">
        <v>78</v>
      </c>
      <c r="E1" s="3" t="s">
        <v>42</v>
      </c>
      <c r="F1" s="3" t="s">
        <v>44</v>
      </c>
      <c r="G1" s="3" t="s">
        <v>46</v>
      </c>
      <c r="H1" s="3" t="s">
        <v>48</v>
      </c>
      <c r="I1" s="3" t="s">
        <v>50</v>
      </c>
      <c r="J1" s="3" t="s">
        <v>52</v>
      </c>
      <c r="K1" s="3" t="s">
        <v>54</v>
      </c>
    </row>
    <row r="2" spans="1:11" x14ac:dyDescent="0.25">
      <c r="A2" s="5">
        <v>1</v>
      </c>
      <c r="B2" s="4" t="s">
        <v>79</v>
      </c>
      <c r="C2" s="4" t="s">
        <v>26</v>
      </c>
      <c r="D2" s="4" t="s">
        <v>80</v>
      </c>
      <c r="E2" s="5">
        <v>2</v>
      </c>
      <c r="F2" s="5">
        <v>1</v>
      </c>
      <c r="G2" s="5">
        <v>1</v>
      </c>
      <c r="H2" s="5">
        <v>2</v>
      </c>
      <c r="I2" s="5">
        <v>2</v>
      </c>
      <c r="J2" s="5">
        <f t="shared" ref="J2:J33" si="0">SUM(F2:I2)</f>
        <v>6</v>
      </c>
      <c r="K2" s="5">
        <v>4</v>
      </c>
    </row>
    <row r="3" spans="1:11" x14ac:dyDescent="0.25">
      <c r="A3" s="5">
        <v>2</v>
      </c>
      <c r="B3" s="4" t="s">
        <v>81</v>
      </c>
      <c r="C3" s="4" t="s">
        <v>26</v>
      </c>
      <c r="D3" s="4" t="s">
        <v>80</v>
      </c>
      <c r="E3" s="5">
        <v>2</v>
      </c>
      <c r="F3" s="5">
        <v>1</v>
      </c>
      <c r="G3" s="5">
        <v>1</v>
      </c>
      <c r="H3" s="5">
        <v>2</v>
      </c>
      <c r="I3" s="5">
        <v>2</v>
      </c>
      <c r="J3" s="5">
        <f t="shared" si="0"/>
        <v>6</v>
      </c>
      <c r="K3" s="5">
        <v>4</v>
      </c>
    </row>
    <row r="4" spans="1:11" x14ac:dyDescent="0.25">
      <c r="A4" s="5">
        <v>3</v>
      </c>
      <c r="B4" s="4" t="s">
        <v>82</v>
      </c>
      <c r="C4" s="4" t="s">
        <v>26</v>
      </c>
      <c r="D4" s="4" t="s">
        <v>83</v>
      </c>
      <c r="E4" s="5">
        <v>3</v>
      </c>
      <c r="F4" s="5">
        <v>1</v>
      </c>
      <c r="G4" s="5">
        <v>1</v>
      </c>
      <c r="H4" s="5">
        <v>1</v>
      </c>
      <c r="I4" s="5">
        <v>2</v>
      </c>
      <c r="J4" s="5">
        <f t="shared" si="0"/>
        <v>5</v>
      </c>
      <c r="K4" s="5">
        <v>3</v>
      </c>
    </row>
    <row r="5" spans="1:11" x14ac:dyDescent="0.25">
      <c r="A5" s="5">
        <v>4</v>
      </c>
      <c r="B5" s="4" t="s">
        <v>84</v>
      </c>
      <c r="C5" s="4" t="s">
        <v>26</v>
      </c>
      <c r="D5" s="4" t="s">
        <v>85</v>
      </c>
      <c r="E5" s="5">
        <v>3</v>
      </c>
      <c r="F5" s="5">
        <v>1</v>
      </c>
      <c r="G5" s="5">
        <v>1</v>
      </c>
      <c r="H5" s="5">
        <v>1</v>
      </c>
      <c r="I5" s="5">
        <v>1</v>
      </c>
      <c r="J5" s="5">
        <f t="shared" si="0"/>
        <v>4</v>
      </c>
      <c r="K5" s="5">
        <v>3</v>
      </c>
    </row>
    <row r="6" spans="1:11" x14ac:dyDescent="0.25">
      <c r="A6" s="5">
        <v>5</v>
      </c>
      <c r="B6" s="4" t="s">
        <v>81</v>
      </c>
      <c r="C6" s="4" t="s">
        <v>26</v>
      </c>
      <c r="D6" s="4" t="s">
        <v>86</v>
      </c>
      <c r="E6" s="5">
        <v>2</v>
      </c>
      <c r="F6" s="5">
        <v>0</v>
      </c>
      <c r="G6" s="5">
        <v>1</v>
      </c>
      <c r="H6" s="5">
        <v>1</v>
      </c>
      <c r="I6" s="5">
        <v>1</v>
      </c>
      <c r="J6" s="5">
        <f t="shared" si="0"/>
        <v>3</v>
      </c>
      <c r="K6" s="5">
        <v>2</v>
      </c>
    </row>
    <row r="7" spans="1:11" x14ac:dyDescent="0.25">
      <c r="A7" s="5">
        <v>6</v>
      </c>
      <c r="B7" s="4" t="s">
        <v>82</v>
      </c>
      <c r="C7" s="4" t="s">
        <v>26</v>
      </c>
      <c r="D7" s="4" t="s">
        <v>87</v>
      </c>
      <c r="E7" s="5">
        <v>3</v>
      </c>
      <c r="F7" s="5">
        <v>1</v>
      </c>
      <c r="G7" s="5">
        <v>1</v>
      </c>
      <c r="H7" s="5">
        <v>1</v>
      </c>
      <c r="I7" s="5">
        <v>1</v>
      </c>
      <c r="J7" s="5">
        <f t="shared" si="0"/>
        <v>4</v>
      </c>
      <c r="K7" s="5">
        <v>3</v>
      </c>
    </row>
    <row r="8" spans="1:11" x14ac:dyDescent="0.25">
      <c r="A8" s="5">
        <v>7</v>
      </c>
      <c r="B8" s="4" t="s">
        <v>82</v>
      </c>
      <c r="C8" s="4" t="s">
        <v>26</v>
      </c>
      <c r="D8" s="4" t="s">
        <v>80</v>
      </c>
      <c r="E8" s="5">
        <v>2</v>
      </c>
      <c r="F8" s="5">
        <v>1</v>
      </c>
      <c r="G8" s="5">
        <v>1</v>
      </c>
      <c r="H8" s="5">
        <v>2</v>
      </c>
      <c r="I8" s="5">
        <v>2</v>
      </c>
      <c r="J8" s="5">
        <f t="shared" si="0"/>
        <v>6</v>
      </c>
      <c r="K8" s="5">
        <v>4</v>
      </c>
    </row>
    <row r="9" spans="1:11" x14ac:dyDescent="0.25">
      <c r="A9" s="5">
        <v>8</v>
      </c>
      <c r="B9" s="4" t="s">
        <v>88</v>
      </c>
      <c r="C9" s="4" t="s">
        <v>27</v>
      </c>
      <c r="D9" s="4" t="s">
        <v>86</v>
      </c>
      <c r="E9" s="5">
        <v>2</v>
      </c>
      <c r="F9" s="5">
        <v>0</v>
      </c>
      <c r="G9" s="5">
        <v>1</v>
      </c>
      <c r="H9" s="5">
        <v>1</v>
      </c>
      <c r="I9" s="5">
        <v>1</v>
      </c>
      <c r="J9" s="5">
        <f t="shared" si="0"/>
        <v>3</v>
      </c>
      <c r="K9" s="5">
        <v>2</v>
      </c>
    </row>
    <row r="10" spans="1:11" x14ac:dyDescent="0.25">
      <c r="A10" s="5">
        <v>9</v>
      </c>
      <c r="B10" s="4" t="s">
        <v>89</v>
      </c>
      <c r="C10" s="4" t="s">
        <v>27</v>
      </c>
      <c r="D10" s="4" t="s">
        <v>83</v>
      </c>
      <c r="E10" s="5">
        <v>4</v>
      </c>
      <c r="F10" s="5">
        <v>2</v>
      </c>
      <c r="G10" s="5">
        <v>1</v>
      </c>
      <c r="H10" s="5">
        <v>1</v>
      </c>
      <c r="I10" s="5">
        <v>2</v>
      </c>
      <c r="J10" s="5">
        <f t="shared" si="0"/>
        <v>6</v>
      </c>
      <c r="K10" s="5">
        <v>4</v>
      </c>
    </row>
    <row r="11" spans="1:11" x14ac:dyDescent="0.25">
      <c r="A11" s="5">
        <v>10</v>
      </c>
      <c r="B11" s="4" t="s">
        <v>90</v>
      </c>
      <c r="C11" s="4" t="s">
        <v>27</v>
      </c>
      <c r="D11" s="4" t="s">
        <v>91</v>
      </c>
      <c r="E11" s="5">
        <v>3</v>
      </c>
      <c r="F11" s="5">
        <v>1</v>
      </c>
      <c r="G11" s="5">
        <v>1</v>
      </c>
      <c r="H11" s="5">
        <v>1</v>
      </c>
      <c r="I11" s="5">
        <v>1</v>
      </c>
      <c r="J11" s="5">
        <f t="shared" si="0"/>
        <v>4</v>
      </c>
      <c r="K11" s="5">
        <v>3</v>
      </c>
    </row>
    <row r="12" spans="1:11" x14ac:dyDescent="0.25">
      <c r="A12" s="5">
        <v>11</v>
      </c>
      <c r="B12" s="4" t="s">
        <v>89</v>
      </c>
      <c r="C12" s="4" t="s">
        <v>27</v>
      </c>
      <c r="D12" s="4" t="s">
        <v>92</v>
      </c>
      <c r="E12" s="5">
        <v>3</v>
      </c>
      <c r="F12" s="5">
        <v>1</v>
      </c>
      <c r="G12" s="5">
        <v>1</v>
      </c>
      <c r="H12" s="5">
        <v>1</v>
      </c>
      <c r="I12" s="5">
        <v>2</v>
      </c>
      <c r="J12" s="5">
        <f t="shared" si="0"/>
        <v>5</v>
      </c>
      <c r="K12" s="5">
        <v>3</v>
      </c>
    </row>
    <row r="13" spans="1:11" x14ac:dyDescent="0.25">
      <c r="A13" s="5">
        <v>12</v>
      </c>
      <c r="B13" s="4" t="s">
        <v>90</v>
      </c>
      <c r="C13" s="4" t="s">
        <v>27</v>
      </c>
      <c r="D13" s="4" t="s">
        <v>86</v>
      </c>
      <c r="E13" s="5">
        <v>2</v>
      </c>
      <c r="F13" s="5">
        <v>0</v>
      </c>
      <c r="G13" s="5">
        <v>1</v>
      </c>
      <c r="H13" s="5">
        <v>1</v>
      </c>
      <c r="I13" s="5">
        <v>1</v>
      </c>
      <c r="J13" s="5">
        <f t="shared" si="0"/>
        <v>3</v>
      </c>
      <c r="K13" s="5">
        <v>2</v>
      </c>
    </row>
    <row r="14" spans="1:11" x14ac:dyDescent="0.25">
      <c r="A14" s="5">
        <v>13</v>
      </c>
      <c r="B14" s="4" t="s">
        <v>88</v>
      </c>
      <c r="C14" s="4" t="s">
        <v>27</v>
      </c>
      <c r="D14" s="4" t="s">
        <v>93</v>
      </c>
      <c r="E14" s="5">
        <v>4</v>
      </c>
      <c r="F14" s="5">
        <v>2</v>
      </c>
      <c r="G14" s="5">
        <v>2</v>
      </c>
      <c r="H14" s="5">
        <v>1</v>
      </c>
      <c r="I14" s="5">
        <v>1</v>
      </c>
      <c r="J14" s="5">
        <f t="shared" si="0"/>
        <v>6</v>
      </c>
      <c r="K14" s="5">
        <v>4</v>
      </c>
    </row>
    <row r="15" spans="1:11" x14ac:dyDescent="0.25">
      <c r="A15" s="5">
        <v>14</v>
      </c>
      <c r="B15" s="4" t="s">
        <v>94</v>
      </c>
      <c r="C15" s="4" t="s">
        <v>28</v>
      </c>
      <c r="D15" s="4" t="s">
        <v>87</v>
      </c>
      <c r="E15" s="5">
        <v>3</v>
      </c>
      <c r="F15" s="5">
        <v>1</v>
      </c>
      <c r="G15" s="5">
        <v>2</v>
      </c>
      <c r="H15" s="5">
        <v>1</v>
      </c>
      <c r="I15" s="5">
        <v>1</v>
      </c>
      <c r="J15" s="5">
        <f t="shared" si="0"/>
        <v>5</v>
      </c>
      <c r="K15" s="5">
        <v>3</v>
      </c>
    </row>
    <row r="16" spans="1:11" x14ac:dyDescent="0.25">
      <c r="A16" s="5">
        <v>15</v>
      </c>
      <c r="B16" s="4" t="s">
        <v>95</v>
      </c>
      <c r="C16" s="4" t="s">
        <v>28</v>
      </c>
      <c r="D16" s="4" t="s">
        <v>85</v>
      </c>
      <c r="E16" s="5">
        <v>3</v>
      </c>
      <c r="F16" s="5">
        <v>1</v>
      </c>
      <c r="G16" s="5">
        <v>2</v>
      </c>
      <c r="H16" s="5">
        <v>1</v>
      </c>
      <c r="I16" s="5">
        <v>1</v>
      </c>
      <c r="J16" s="5">
        <f t="shared" si="0"/>
        <v>5</v>
      </c>
      <c r="K16" s="5">
        <v>3</v>
      </c>
    </row>
    <row r="17" spans="1:11" x14ac:dyDescent="0.25">
      <c r="A17" s="5">
        <v>16</v>
      </c>
      <c r="B17" s="4" t="s">
        <v>94</v>
      </c>
      <c r="C17" s="4" t="s">
        <v>28</v>
      </c>
      <c r="D17" s="4" t="s">
        <v>93</v>
      </c>
      <c r="E17" s="5">
        <v>4</v>
      </c>
      <c r="F17" s="5">
        <v>2</v>
      </c>
      <c r="G17" s="5">
        <v>2</v>
      </c>
      <c r="H17" s="5">
        <v>1</v>
      </c>
      <c r="I17" s="5">
        <v>1</v>
      </c>
      <c r="J17" s="5">
        <f t="shared" si="0"/>
        <v>6</v>
      </c>
      <c r="K17" s="5">
        <v>4</v>
      </c>
    </row>
    <row r="18" spans="1:11" x14ac:dyDescent="0.25">
      <c r="A18" s="5">
        <v>17</v>
      </c>
      <c r="B18" s="4" t="s">
        <v>96</v>
      </c>
      <c r="C18" s="4" t="s">
        <v>28</v>
      </c>
      <c r="D18" s="4" t="s">
        <v>87</v>
      </c>
      <c r="E18" s="5">
        <v>3</v>
      </c>
      <c r="F18" s="5">
        <v>1</v>
      </c>
      <c r="G18" s="5">
        <v>2</v>
      </c>
      <c r="H18" s="5">
        <v>1</v>
      </c>
      <c r="I18" s="5">
        <v>1</v>
      </c>
      <c r="J18" s="5">
        <f t="shared" si="0"/>
        <v>5</v>
      </c>
      <c r="K18" s="5">
        <v>3</v>
      </c>
    </row>
    <row r="19" spans="1:11" x14ac:dyDescent="0.25">
      <c r="A19" s="5">
        <v>18</v>
      </c>
      <c r="B19" s="4" t="s">
        <v>94</v>
      </c>
      <c r="C19" s="4" t="s">
        <v>28</v>
      </c>
      <c r="D19" s="4" t="s">
        <v>97</v>
      </c>
      <c r="E19" s="5">
        <v>2</v>
      </c>
      <c r="F19" s="5">
        <v>0</v>
      </c>
      <c r="G19" s="5">
        <v>1</v>
      </c>
      <c r="H19" s="5">
        <v>1</v>
      </c>
      <c r="I19" s="5">
        <v>2</v>
      </c>
      <c r="J19" s="5">
        <f t="shared" si="0"/>
        <v>4</v>
      </c>
      <c r="K19" s="5">
        <v>3</v>
      </c>
    </row>
    <row r="20" spans="1:11" x14ac:dyDescent="0.25">
      <c r="A20" s="5">
        <v>19</v>
      </c>
      <c r="B20" s="4" t="s">
        <v>95</v>
      </c>
      <c r="C20" s="4" t="s">
        <v>28</v>
      </c>
      <c r="D20" s="4" t="s">
        <v>87</v>
      </c>
      <c r="E20" s="5">
        <v>3</v>
      </c>
      <c r="F20" s="5">
        <v>1</v>
      </c>
      <c r="G20" s="5">
        <v>2</v>
      </c>
      <c r="H20" s="5">
        <v>1</v>
      </c>
      <c r="I20" s="5">
        <v>1</v>
      </c>
      <c r="J20" s="5">
        <f t="shared" si="0"/>
        <v>5</v>
      </c>
      <c r="K20" s="5">
        <v>3</v>
      </c>
    </row>
    <row r="21" spans="1:11" x14ac:dyDescent="0.25">
      <c r="A21" s="5">
        <v>20</v>
      </c>
      <c r="B21" s="4" t="s">
        <v>98</v>
      </c>
      <c r="C21" s="4" t="s">
        <v>29</v>
      </c>
      <c r="D21" s="4" t="s">
        <v>99</v>
      </c>
      <c r="E21" s="5">
        <v>4</v>
      </c>
      <c r="F21" s="5">
        <v>2</v>
      </c>
      <c r="G21" s="5">
        <v>2</v>
      </c>
      <c r="H21" s="5">
        <v>1</v>
      </c>
      <c r="I21" s="5">
        <v>1</v>
      </c>
      <c r="J21" s="5">
        <f t="shared" si="0"/>
        <v>6</v>
      </c>
      <c r="K21" s="5">
        <v>4</v>
      </c>
    </row>
    <row r="22" spans="1:11" x14ac:dyDescent="0.25">
      <c r="A22" s="5">
        <v>21</v>
      </c>
      <c r="B22" s="4" t="s">
        <v>100</v>
      </c>
      <c r="C22" s="4" t="s">
        <v>29</v>
      </c>
      <c r="D22" s="4" t="s">
        <v>101</v>
      </c>
      <c r="E22" s="5">
        <v>3</v>
      </c>
      <c r="F22" s="5">
        <v>1</v>
      </c>
      <c r="G22" s="5">
        <v>2</v>
      </c>
      <c r="H22" s="5">
        <v>1</v>
      </c>
      <c r="I22" s="5">
        <v>1</v>
      </c>
      <c r="J22" s="5">
        <f t="shared" si="0"/>
        <v>5</v>
      </c>
      <c r="K22" s="5">
        <v>3</v>
      </c>
    </row>
    <row r="23" spans="1:11" x14ac:dyDescent="0.25">
      <c r="A23" s="5">
        <v>22</v>
      </c>
      <c r="B23" s="4" t="s">
        <v>102</v>
      </c>
      <c r="C23" s="4" t="s">
        <v>29</v>
      </c>
      <c r="D23" s="4" t="s">
        <v>92</v>
      </c>
      <c r="E23" s="5">
        <v>3</v>
      </c>
      <c r="F23" s="5">
        <v>0</v>
      </c>
      <c r="G23" s="5">
        <v>1</v>
      </c>
      <c r="H23" s="5">
        <v>1</v>
      </c>
      <c r="I23" s="5">
        <v>2</v>
      </c>
      <c r="J23" s="5">
        <f t="shared" si="0"/>
        <v>4</v>
      </c>
      <c r="K23" s="5">
        <v>3</v>
      </c>
    </row>
    <row r="24" spans="1:11" x14ac:dyDescent="0.25">
      <c r="A24" s="5">
        <v>23</v>
      </c>
      <c r="B24" s="4" t="s">
        <v>103</v>
      </c>
      <c r="C24" s="4" t="s">
        <v>29</v>
      </c>
      <c r="D24" s="4" t="s">
        <v>83</v>
      </c>
      <c r="E24" s="5">
        <v>2</v>
      </c>
      <c r="F24" s="5">
        <v>0</v>
      </c>
      <c r="G24" s="5">
        <v>1</v>
      </c>
      <c r="H24" s="5">
        <v>1</v>
      </c>
      <c r="I24" s="5">
        <v>2</v>
      </c>
      <c r="J24" s="5">
        <f t="shared" si="0"/>
        <v>4</v>
      </c>
      <c r="K24" s="5">
        <v>3</v>
      </c>
    </row>
    <row r="25" spans="1:11" x14ac:dyDescent="0.25">
      <c r="A25" s="5">
        <v>24</v>
      </c>
      <c r="B25" s="4" t="s">
        <v>103</v>
      </c>
      <c r="C25" s="4" t="s">
        <v>29</v>
      </c>
      <c r="D25" s="4" t="s">
        <v>85</v>
      </c>
      <c r="E25" s="5">
        <v>3</v>
      </c>
      <c r="F25" s="5">
        <v>1</v>
      </c>
      <c r="G25" s="5">
        <v>1</v>
      </c>
      <c r="H25" s="5">
        <v>1</v>
      </c>
      <c r="I25" s="5">
        <v>1</v>
      </c>
      <c r="J25" s="5">
        <f t="shared" si="0"/>
        <v>4</v>
      </c>
      <c r="K25" s="5">
        <v>3</v>
      </c>
    </row>
    <row r="26" spans="1:11" x14ac:dyDescent="0.25">
      <c r="A26" s="5">
        <v>25</v>
      </c>
      <c r="B26" s="4" t="s">
        <v>100</v>
      </c>
      <c r="C26" s="4" t="s">
        <v>29</v>
      </c>
      <c r="D26" s="4" t="s">
        <v>93</v>
      </c>
      <c r="E26" s="5">
        <v>4</v>
      </c>
      <c r="F26" s="5">
        <v>2</v>
      </c>
      <c r="G26" s="5">
        <v>2</v>
      </c>
      <c r="H26" s="5">
        <v>1</v>
      </c>
      <c r="I26" s="5">
        <v>1</v>
      </c>
      <c r="J26" s="5">
        <f t="shared" si="0"/>
        <v>6</v>
      </c>
      <c r="K26" s="5">
        <v>4</v>
      </c>
    </row>
    <row r="27" spans="1:11" x14ac:dyDescent="0.25">
      <c r="A27" s="5">
        <v>26</v>
      </c>
      <c r="B27" s="4" t="s">
        <v>100</v>
      </c>
      <c r="C27" s="4" t="s">
        <v>29</v>
      </c>
      <c r="D27" s="4" t="s">
        <v>92</v>
      </c>
      <c r="E27" s="5">
        <v>3</v>
      </c>
      <c r="F27" s="5">
        <v>0</v>
      </c>
      <c r="G27" s="5">
        <v>1</v>
      </c>
      <c r="H27" s="5">
        <v>1</v>
      </c>
      <c r="I27" s="5">
        <v>2</v>
      </c>
      <c r="J27" s="5">
        <f t="shared" si="0"/>
        <v>4</v>
      </c>
      <c r="K27" s="5">
        <v>3</v>
      </c>
    </row>
    <row r="28" spans="1:11" x14ac:dyDescent="0.25">
      <c r="A28" s="5">
        <v>27</v>
      </c>
      <c r="B28" s="4" t="s">
        <v>104</v>
      </c>
      <c r="C28" s="4" t="s">
        <v>30</v>
      </c>
      <c r="D28" s="4" t="s">
        <v>101</v>
      </c>
      <c r="E28" s="5">
        <v>4</v>
      </c>
      <c r="F28" s="5">
        <v>2</v>
      </c>
      <c r="G28" s="5">
        <v>2</v>
      </c>
      <c r="H28" s="5">
        <v>1</v>
      </c>
      <c r="I28" s="5">
        <v>1</v>
      </c>
      <c r="J28" s="5">
        <f t="shared" si="0"/>
        <v>6</v>
      </c>
      <c r="K28" s="5">
        <v>4</v>
      </c>
    </row>
    <row r="29" spans="1:11" x14ac:dyDescent="0.25">
      <c r="A29" s="5">
        <v>28</v>
      </c>
      <c r="B29" s="4" t="s">
        <v>105</v>
      </c>
      <c r="C29" s="4" t="s">
        <v>30</v>
      </c>
      <c r="D29" s="4" t="s">
        <v>101</v>
      </c>
      <c r="E29" s="5">
        <v>4</v>
      </c>
      <c r="F29" s="5">
        <v>2</v>
      </c>
      <c r="G29" s="5">
        <v>2</v>
      </c>
      <c r="H29" s="5">
        <v>1</v>
      </c>
      <c r="I29" s="5">
        <v>1</v>
      </c>
      <c r="J29" s="5">
        <f t="shared" si="0"/>
        <v>6</v>
      </c>
      <c r="K29" s="5">
        <v>4</v>
      </c>
    </row>
    <row r="30" spans="1:11" x14ac:dyDescent="0.25">
      <c r="A30" s="5">
        <v>29</v>
      </c>
      <c r="B30" s="4" t="s">
        <v>106</v>
      </c>
      <c r="C30" s="4" t="s">
        <v>30</v>
      </c>
      <c r="D30" s="4" t="s">
        <v>99</v>
      </c>
      <c r="E30" s="5">
        <v>3</v>
      </c>
      <c r="F30" s="5">
        <v>1</v>
      </c>
      <c r="G30" s="5">
        <v>1</v>
      </c>
      <c r="H30" s="5">
        <v>1</v>
      </c>
      <c r="I30" s="5">
        <v>1</v>
      </c>
      <c r="J30" s="5">
        <f t="shared" si="0"/>
        <v>4</v>
      </c>
      <c r="K30" s="5">
        <v>3</v>
      </c>
    </row>
    <row r="31" spans="1:11" x14ac:dyDescent="0.25">
      <c r="A31" s="5">
        <v>30</v>
      </c>
      <c r="B31" s="4" t="s">
        <v>106</v>
      </c>
      <c r="C31" s="4" t="s">
        <v>30</v>
      </c>
      <c r="D31" s="4" t="s">
        <v>87</v>
      </c>
      <c r="E31" s="5">
        <v>3</v>
      </c>
      <c r="F31" s="5">
        <v>1</v>
      </c>
      <c r="G31" s="5">
        <v>1</v>
      </c>
      <c r="H31" s="5">
        <v>1</v>
      </c>
      <c r="I31" s="5">
        <v>1</v>
      </c>
      <c r="J31" s="5">
        <f t="shared" si="0"/>
        <v>4</v>
      </c>
      <c r="K31" s="5">
        <v>3</v>
      </c>
    </row>
    <row r="32" spans="1:11" x14ac:dyDescent="0.25">
      <c r="A32" s="5">
        <v>31</v>
      </c>
      <c r="B32" s="4" t="s">
        <v>107</v>
      </c>
      <c r="C32" s="4" t="s">
        <v>30</v>
      </c>
      <c r="D32" s="4" t="s">
        <v>92</v>
      </c>
      <c r="E32" s="5">
        <v>2</v>
      </c>
      <c r="F32" s="5">
        <v>0</v>
      </c>
      <c r="G32" s="5">
        <v>0</v>
      </c>
      <c r="H32" s="5">
        <v>1</v>
      </c>
      <c r="I32" s="5">
        <v>2</v>
      </c>
      <c r="J32" s="5">
        <f t="shared" si="0"/>
        <v>3</v>
      </c>
      <c r="K32" s="5">
        <v>2</v>
      </c>
    </row>
    <row r="33" spans="1:11" x14ac:dyDescent="0.25">
      <c r="A33" s="5">
        <v>32</v>
      </c>
      <c r="B33" s="4" t="s">
        <v>106</v>
      </c>
      <c r="C33" s="4" t="s">
        <v>30</v>
      </c>
      <c r="D33" s="4" t="s">
        <v>93</v>
      </c>
      <c r="E33" s="5">
        <v>3</v>
      </c>
      <c r="F33" s="5">
        <v>1</v>
      </c>
      <c r="G33" s="5">
        <v>1</v>
      </c>
      <c r="H33" s="5">
        <v>1</v>
      </c>
      <c r="I33" s="5">
        <v>1</v>
      </c>
      <c r="J33" s="5">
        <f t="shared" si="0"/>
        <v>4</v>
      </c>
      <c r="K33" s="5">
        <v>3</v>
      </c>
    </row>
    <row r="34" spans="1:11" x14ac:dyDescent="0.25">
      <c r="A34" s="5">
        <v>33</v>
      </c>
      <c r="B34" s="4" t="s">
        <v>108</v>
      </c>
      <c r="C34" s="4" t="s">
        <v>30</v>
      </c>
      <c r="D34" s="4" t="s">
        <v>83</v>
      </c>
      <c r="E34" s="5">
        <v>2</v>
      </c>
      <c r="F34" s="5">
        <v>0</v>
      </c>
      <c r="G34" s="5">
        <v>0</v>
      </c>
      <c r="H34" s="5">
        <v>1</v>
      </c>
      <c r="I34" s="5">
        <v>2</v>
      </c>
      <c r="J34" s="5">
        <f t="shared" ref="J34:J65" si="1">SUM(F34:I34)</f>
        <v>3</v>
      </c>
      <c r="K34" s="5">
        <v>2</v>
      </c>
    </row>
    <row r="35" spans="1:11" x14ac:dyDescent="0.25">
      <c r="A35" s="5">
        <v>34</v>
      </c>
      <c r="B35" s="4" t="s">
        <v>109</v>
      </c>
      <c r="C35" s="4" t="s">
        <v>30</v>
      </c>
      <c r="D35" s="4" t="s">
        <v>99</v>
      </c>
      <c r="E35" s="5">
        <v>3</v>
      </c>
      <c r="F35" s="5">
        <v>0</v>
      </c>
      <c r="G35" s="5">
        <v>1</v>
      </c>
      <c r="H35" s="5">
        <v>1</v>
      </c>
      <c r="I35" s="5">
        <v>1</v>
      </c>
      <c r="J35" s="5">
        <f t="shared" si="1"/>
        <v>3</v>
      </c>
      <c r="K35" s="5">
        <v>2</v>
      </c>
    </row>
    <row r="36" spans="1:11" x14ac:dyDescent="0.25">
      <c r="A36" s="5">
        <v>35</v>
      </c>
      <c r="B36" s="4" t="s">
        <v>106</v>
      </c>
      <c r="C36" s="4" t="s">
        <v>30</v>
      </c>
      <c r="D36" s="4" t="s">
        <v>85</v>
      </c>
      <c r="E36" s="5">
        <v>3</v>
      </c>
      <c r="F36" s="5">
        <v>1</v>
      </c>
      <c r="G36" s="5">
        <v>1</v>
      </c>
      <c r="H36" s="5">
        <v>1</v>
      </c>
      <c r="I36" s="5">
        <v>1</v>
      </c>
      <c r="J36" s="5">
        <f t="shared" si="1"/>
        <v>4</v>
      </c>
      <c r="K36" s="5">
        <v>3</v>
      </c>
    </row>
    <row r="37" spans="1:11" x14ac:dyDescent="0.25">
      <c r="A37" s="5">
        <v>36</v>
      </c>
      <c r="B37" s="4" t="s">
        <v>106</v>
      </c>
      <c r="C37" s="4" t="s">
        <v>30</v>
      </c>
      <c r="D37" s="4" t="s">
        <v>86</v>
      </c>
      <c r="E37" s="5">
        <v>3</v>
      </c>
      <c r="F37" s="5">
        <v>1</v>
      </c>
      <c r="G37" s="5">
        <v>1</v>
      </c>
      <c r="H37" s="5">
        <v>1</v>
      </c>
      <c r="I37" s="5">
        <v>2</v>
      </c>
      <c r="J37" s="5">
        <f t="shared" si="1"/>
        <v>5</v>
      </c>
      <c r="K37" s="5">
        <v>3</v>
      </c>
    </row>
    <row r="38" spans="1:11" x14ac:dyDescent="0.25">
      <c r="A38" s="5">
        <v>37</v>
      </c>
      <c r="B38" s="4" t="s">
        <v>109</v>
      </c>
      <c r="C38" s="4" t="s">
        <v>30</v>
      </c>
      <c r="D38" s="4" t="s">
        <v>85</v>
      </c>
      <c r="E38" s="5">
        <v>3</v>
      </c>
      <c r="F38" s="5">
        <v>0</v>
      </c>
      <c r="G38" s="5">
        <v>0</v>
      </c>
      <c r="H38" s="5">
        <v>1</v>
      </c>
      <c r="I38" s="5">
        <v>1</v>
      </c>
      <c r="J38" s="5">
        <f t="shared" si="1"/>
        <v>2</v>
      </c>
      <c r="K38" s="5">
        <v>2</v>
      </c>
    </row>
    <row r="39" spans="1:11" x14ac:dyDescent="0.25">
      <c r="A39" s="5">
        <v>38</v>
      </c>
      <c r="B39" s="4" t="s">
        <v>110</v>
      </c>
      <c r="C39" s="4" t="s">
        <v>31</v>
      </c>
      <c r="D39" s="4" t="s">
        <v>87</v>
      </c>
      <c r="E39" s="5">
        <v>3</v>
      </c>
      <c r="F39" s="5">
        <v>1</v>
      </c>
      <c r="G39" s="5">
        <v>1</v>
      </c>
      <c r="H39" s="5">
        <v>1</v>
      </c>
      <c r="I39" s="5">
        <v>1</v>
      </c>
      <c r="J39" s="5">
        <f t="shared" si="1"/>
        <v>4</v>
      </c>
      <c r="K39" s="5">
        <v>3</v>
      </c>
    </row>
    <row r="40" spans="1:11" x14ac:dyDescent="0.25">
      <c r="A40" s="5">
        <v>39</v>
      </c>
      <c r="B40" s="4" t="s">
        <v>111</v>
      </c>
      <c r="C40" s="4" t="s">
        <v>31</v>
      </c>
      <c r="D40" s="4" t="s">
        <v>86</v>
      </c>
      <c r="E40" s="5">
        <v>3</v>
      </c>
      <c r="F40" s="5">
        <v>1</v>
      </c>
      <c r="G40" s="5">
        <v>1</v>
      </c>
      <c r="H40" s="5">
        <v>1</v>
      </c>
      <c r="I40" s="5">
        <v>2</v>
      </c>
      <c r="J40" s="5">
        <f t="shared" si="1"/>
        <v>5</v>
      </c>
      <c r="K40" s="5">
        <v>3</v>
      </c>
    </row>
    <row r="41" spans="1:11" x14ac:dyDescent="0.25">
      <c r="A41" s="5">
        <v>40</v>
      </c>
      <c r="B41" s="4" t="s">
        <v>112</v>
      </c>
      <c r="C41" s="4" t="s">
        <v>31</v>
      </c>
      <c r="D41" s="4" t="s">
        <v>87</v>
      </c>
      <c r="E41" s="5">
        <v>3</v>
      </c>
      <c r="F41" s="5">
        <v>1</v>
      </c>
      <c r="G41" s="5">
        <v>1</v>
      </c>
      <c r="H41" s="5">
        <v>1</v>
      </c>
      <c r="I41" s="5">
        <v>1</v>
      </c>
      <c r="J41" s="5">
        <f t="shared" si="1"/>
        <v>4</v>
      </c>
      <c r="K41" s="5">
        <v>3</v>
      </c>
    </row>
    <row r="42" spans="1:11" x14ac:dyDescent="0.25">
      <c r="A42" s="5">
        <v>41</v>
      </c>
      <c r="B42" s="4" t="s">
        <v>112</v>
      </c>
      <c r="C42" s="4" t="s">
        <v>31</v>
      </c>
      <c r="D42" s="4" t="s">
        <v>93</v>
      </c>
      <c r="E42" s="5">
        <v>2</v>
      </c>
      <c r="F42" s="5">
        <v>0</v>
      </c>
      <c r="G42" s="5">
        <v>1</v>
      </c>
      <c r="H42" s="5">
        <v>1</v>
      </c>
      <c r="I42" s="5">
        <v>1</v>
      </c>
      <c r="J42" s="5">
        <f t="shared" si="1"/>
        <v>3</v>
      </c>
      <c r="K42" s="5">
        <v>2</v>
      </c>
    </row>
    <row r="43" spans="1:11" x14ac:dyDescent="0.25">
      <c r="A43" s="5">
        <v>42</v>
      </c>
      <c r="B43" s="4" t="s">
        <v>111</v>
      </c>
      <c r="C43" s="4" t="s">
        <v>31</v>
      </c>
      <c r="D43" s="4" t="s">
        <v>92</v>
      </c>
      <c r="E43" s="5">
        <v>2</v>
      </c>
      <c r="F43" s="5">
        <v>0</v>
      </c>
      <c r="G43" s="5">
        <v>0</v>
      </c>
      <c r="H43" s="5">
        <v>1</v>
      </c>
      <c r="I43" s="5">
        <v>2</v>
      </c>
      <c r="J43" s="5">
        <f t="shared" si="1"/>
        <v>3</v>
      </c>
      <c r="K43" s="5">
        <v>2</v>
      </c>
    </row>
    <row r="44" spans="1:11" x14ac:dyDescent="0.25">
      <c r="A44" s="5">
        <v>43</v>
      </c>
      <c r="B44" s="4" t="s">
        <v>112</v>
      </c>
      <c r="C44" s="4" t="s">
        <v>31</v>
      </c>
      <c r="D44" s="4" t="s">
        <v>86</v>
      </c>
      <c r="E44" s="5">
        <v>3</v>
      </c>
      <c r="F44" s="5">
        <v>0</v>
      </c>
      <c r="G44" s="5">
        <v>1</v>
      </c>
      <c r="H44" s="5">
        <v>1</v>
      </c>
      <c r="I44" s="5">
        <v>2</v>
      </c>
      <c r="J44" s="5">
        <f t="shared" si="1"/>
        <v>4</v>
      </c>
      <c r="K44" s="5">
        <v>3</v>
      </c>
    </row>
    <row r="45" spans="1:11" x14ac:dyDescent="0.25">
      <c r="A45" s="5">
        <v>44</v>
      </c>
      <c r="B45" s="4" t="s">
        <v>113</v>
      </c>
      <c r="C45" s="4" t="s">
        <v>31</v>
      </c>
      <c r="D45" s="4" t="s">
        <v>83</v>
      </c>
      <c r="E45" s="5">
        <v>2</v>
      </c>
      <c r="F45" s="5">
        <v>0</v>
      </c>
      <c r="G45" s="5">
        <v>0</v>
      </c>
      <c r="H45" s="5">
        <v>1</v>
      </c>
      <c r="I45" s="5">
        <v>2</v>
      </c>
      <c r="J45" s="5">
        <f t="shared" si="1"/>
        <v>3</v>
      </c>
      <c r="K45" s="5">
        <v>2</v>
      </c>
    </row>
    <row r="46" spans="1:11" x14ac:dyDescent="0.25">
      <c r="A46" s="5">
        <v>45</v>
      </c>
      <c r="B46" s="4" t="s">
        <v>114</v>
      </c>
      <c r="C46" s="4" t="s">
        <v>32</v>
      </c>
      <c r="D46" s="4" t="s">
        <v>91</v>
      </c>
      <c r="E46" s="5">
        <v>3</v>
      </c>
      <c r="F46" s="5">
        <v>1</v>
      </c>
      <c r="G46" s="5">
        <v>1</v>
      </c>
      <c r="H46" s="5">
        <v>1</v>
      </c>
      <c r="I46" s="5">
        <v>1</v>
      </c>
      <c r="J46" s="5">
        <f t="shared" si="1"/>
        <v>4</v>
      </c>
      <c r="K46" s="5">
        <v>3</v>
      </c>
    </row>
    <row r="47" spans="1:11" x14ac:dyDescent="0.25">
      <c r="A47" s="5">
        <v>46</v>
      </c>
      <c r="B47" s="4" t="s">
        <v>114</v>
      </c>
      <c r="C47" s="4" t="s">
        <v>32</v>
      </c>
      <c r="D47" s="4" t="s">
        <v>85</v>
      </c>
      <c r="E47" s="5">
        <v>2</v>
      </c>
      <c r="F47" s="5">
        <v>0</v>
      </c>
      <c r="G47" s="5">
        <v>0</v>
      </c>
      <c r="H47" s="5">
        <v>1</v>
      </c>
      <c r="I47" s="5">
        <v>2</v>
      </c>
      <c r="J47" s="5">
        <f t="shared" si="1"/>
        <v>3</v>
      </c>
      <c r="K47" s="5">
        <v>2</v>
      </c>
    </row>
    <row r="48" spans="1:11" x14ac:dyDescent="0.25">
      <c r="A48" s="5">
        <v>47</v>
      </c>
      <c r="B48" s="4" t="s">
        <v>115</v>
      </c>
      <c r="C48" s="4" t="s">
        <v>32</v>
      </c>
      <c r="D48" s="4" t="s">
        <v>80</v>
      </c>
      <c r="E48" s="5">
        <v>2</v>
      </c>
      <c r="F48" s="5">
        <v>0</v>
      </c>
      <c r="G48" s="5">
        <v>0</v>
      </c>
      <c r="H48" s="5">
        <v>1</v>
      </c>
      <c r="I48" s="5">
        <v>2</v>
      </c>
      <c r="J48" s="5">
        <f t="shared" si="1"/>
        <v>3</v>
      </c>
      <c r="K48" s="5">
        <v>2</v>
      </c>
    </row>
    <row r="49" spans="1:11" x14ac:dyDescent="0.25">
      <c r="A49" s="5">
        <v>48</v>
      </c>
      <c r="B49" s="4" t="s">
        <v>116</v>
      </c>
      <c r="C49" s="4" t="s">
        <v>32</v>
      </c>
      <c r="D49" s="4" t="s">
        <v>97</v>
      </c>
      <c r="E49" s="5">
        <v>2</v>
      </c>
      <c r="F49" s="5">
        <v>0</v>
      </c>
      <c r="G49" s="5">
        <v>0</v>
      </c>
      <c r="H49" s="5">
        <v>1</v>
      </c>
      <c r="I49" s="5">
        <v>2</v>
      </c>
      <c r="J49" s="5">
        <f t="shared" si="1"/>
        <v>3</v>
      </c>
      <c r="K49" s="5">
        <v>2</v>
      </c>
    </row>
    <row r="50" spans="1:11" x14ac:dyDescent="0.25">
      <c r="A50" s="5">
        <v>49</v>
      </c>
      <c r="B50" s="4" t="s">
        <v>116</v>
      </c>
      <c r="C50" s="4" t="s">
        <v>32</v>
      </c>
      <c r="D50" s="4" t="s">
        <v>101</v>
      </c>
      <c r="E50" s="5">
        <v>4</v>
      </c>
      <c r="F50" s="5">
        <v>2</v>
      </c>
      <c r="G50" s="5">
        <v>2</v>
      </c>
      <c r="H50" s="5">
        <v>1</v>
      </c>
      <c r="I50" s="5">
        <v>1</v>
      </c>
      <c r="J50" s="5">
        <f t="shared" si="1"/>
        <v>6</v>
      </c>
      <c r="K50" s="5">
        <v>4</v>
      </c>
    </row>
    <row r="51" spans="1:11" x14ac:dyDescent="0.25">
      <c r="A51" s="5">
        <v>50</v>
      </c>
      <c r="B51" s="4" t="s">
        <v>117</v>
      </c>
      <c r="C51" s="4" t="s">
        <v>32</v>
      </c>
      <c r="D51" s="4" t="s">
        <v>91</v>
      </c>
      <c r="E51" s="5">
        <v>3</v>
      </c>
      <c r="F51" s="5">
        <v>1</v>
      </c>
      <c r="G51" s="5">
        <v>1</v>
      </c>
      <c r="H51" s="5">
        <v>1</v>
      </c>
      <c r="I51" s="5">
        <v>1</v>
      </c>
      <c r="J51" s="5">
        <f t="shared" si="1"/>
        <v>4</v>
      </c>
      <c r="K51" s="5">
        <v>3</v>
      </c>
    </row>
    <row r="52" spans="1:11" x14ac:dyDescent="0.25">
      <c r="A52" s="5">
        <v>51</v>
      </c>
      <c r="B52" s="4" t="s">
        <v>114</v>
      </c>
      <c r="C52" s="4" t="s">
        <v>32</v>
      </c>
      <c r="D52" s="4" t="s">
        <v>118</v>
      </c>
      <c r="E52" s="5">
        <v>4</v>
      </c>
      <c r="F52" s="5">
        <v>2</v>
      </c>
      <c r="G52" s="5">
        <v>2</v>
      </c>
      <c r="H52" s="5">
        <v>1</v>
      </c>
      <c r="I52" s="5">
        <v>1</v>
      </c>
      <c r="J52" s="5">
        <f t="shared" si="1"/>
        <v>6</v>
      </c>
      <c r="K52" s="5">
        <v>4</v>
      </c>
    </row>
    <row r="53" spans="1:11" x14ac:dyDescent="0.25">
      <c r="A53" s="5">
        <v>52</v>
      </c>
      <c r="B53" s="4" t="s">
        <v>115</v>
      </c>
      <c r="C53" s="4" t="s">
        <v>32</v>
      </c>
      <c r="D53" s="4" t="s">
        <v>83</v>
      </c>
      <c r="E53" s="5">
        <v>2</v>
      </c>
      <c r="F53" s="5">
        <v>0</v>
      </c>
      <c r="G53" s="5">
        <v>0</v>
      </c>
      <c r="H53" s="5">
        <v>1</v>
      </c>
      <c r="I53" s="5">
        <v>2</v>
      </c>
      <c r="J53" s="5">
        <f t="shared" si="1"/>
        <v>3</v>
      </c>
      <c r="K53" s="5">
        <v>2</v>
      </c>
    </row>
    <row r="54" spans="1:11" x14ac:dyDescent="0.25">
      <c r="A54" s="5">
        <v>53</v>
      </c>
      <c r="B54" s="4" t="s">
        <v>114</v>
      </c>
      <c r="C54" s="4" t="s">
        <v>32</v>
      </c>
      <c r="D54" s="4" t="s">
        <v>101</v>
      </c>
      <c r="E54" s="5">
        <v>4</v>
      </c>
      <c r="F54" s="5">
        <v>2</v>
      </c>
      <c r="G54" s="5">
        <v>2</v>
      </c>
      <c r="H54" s="5">
        <v>1</v>
      </c>
      <c r="I54" s="5">
        <v>1</v>
      </c>
      <c r="J54" s="5">
        <f t="shared" si="1"/>
        <v>6</v>
      </c>
      <c r="K54" s="5">
        <v>4</v>
      </c>
    </row>
    <row r="55" spans="1:11" x14ac:dyDescent="0.25">
      <c r="A55" s="5">
        <v>54</v>
      </c>
      <c r="B55" s="4" t="s">
        <v>119</v>
      </c>
      <c r="C55" s="4" t="s">
        <v>33</v>
      </c>
      <c r="D55" s="4" t="s">
        <v>91</v>
      </c>
      <c r="E55" s="5">
        <v>3</v>
      </c>
      <c r="F55" s="5">
        <v>1</v>
      </c>
      <c r="G55" s="5">
        <v>1</v>
      </c>
      <c r="H55" s="5">
        <v>1</v>
      </c>
      <c r="I55" s="5">
        <v>1</v>
      </c>
      <c r="J55" s="5">
        <f t="shared" si="1"/>
        <v>4</v>
      </c>
      <c r="K55" s="5">
        <v>3</v>
      </c>
    </row>
    <row r="56" spans="1:11" x14ac:dyDescent="0.25">
      <c r="A56" s="5">
        <v>55</v>
      </c>
      <c r="B56" s="4" t="s">
        <v>120</v>
      </c>
      <c r="C56" s="4" t="s">
        <v>33</v>
      </c>
      <c r="D56" s="4" t="s">
        <v>85</v>
      </c>
      <c r="E56" s="5">
        <v>2</v>
      </c>
      <c r="F56" s="5">
        <v>0</v>
      </c>
      <c r="G56" s="5">
        <v>0</v>
      </c>
      <c r="H56" s="5">
        <v>1</v>
      </c>
      <c r="I56" s="5">
        <v>1</v>
      </c>
      <c r="J56" s="5">
        <f t="shared" si="1"/>
        <v>2</v>
      </c>
      <c r="K56" s="5">
        <v>2</v>
      </c>
    </row>
    <row r="57" spans="1:11" x14ac:dyDescent="0.25">
      <c r="A57" s="5">
        <v>56</v>
      </c>
      <c r="B57" s="4" t="s">
        <v>121</v>
      </c>
      <c r="C57" s="4" t="s">
        <v>33</v>
      </c>
      <c r="D57" s="4" t="s">
        <v>97</v>
      </c>
      <c r="E57" s="5">
        <v>2</v>
      </c>
      <c r="F57" s="5">
        <v>0</v>
      </c>
      <c r="G57" s="5">
        <v>0</v>
      </c>
      <c r="H57" s="5">
        <v>1</v>
      </c>
      <c r="I57" s="5">
        <v>2</v>
      </c>
      <c r="J57" s="5">
        <f t="shared" si="1"/>
        <v>3</v>
      </c>
      <c r="K57" s="5">
        <v>2</v>
      </c>
    </row>
    <row r="58" spans="1:11" x14ac:dyDescent="0.25">
      <c r="A58" s="5">
        <v>57</v>
      </c>
      <c r="B58" s="4" t="s">
        <v>121</v>
      </c>
      <c r="C58" s="4" t="s">
        <v>33</v>
      </c>
      <c r="D58" s="4" t="s">
        <v>91</v>
      </c>
      <c r="E58" s="5">
        <v>3</v>
      </c>
      <c r="F58" s="5">
        <v>1</v>
      </c>
      <c r="G58" s="5">
        <v>1</v>
      </c>
      <c r="H58" s="5">
        <v>1</v>
      </c>
      <c r="I58" s="5">
        <v>1</v>
      </c>
      <c r="J58" s="5">
        <f t="shared" si="1"/>
        <v>4</v>
      </c>
      <c r="K58" s="5">
        <v>3</v>
      </c>
    </row>
    <row r="59" spans="1:11" x14ac:dyDescent="0.25">
      <c r="A59" s="5">
        <v>58</v>
      </c>
      <c r="B59" s="4" t="s">
        <v>122</v>
      </c>
      <c r="C59" s="4" t="s">
        <v>33</v>
      </c>
      <c r="D59" s="4" t="s">
        <v>91</v>
      </c>
      <c r="E59" s="5">
        <v>3</v>
      </c>
      <c r="F59" s="5">
        <v>1</v>
      </c>
      <c r="G59" s="5">
        <v>1</v>
      </c>
      <c r="H59" s="5">
        <v>1</v>
      </c>
      <c r="I59" s="5">
        <v>1</v>
      </c>
      <c r="J59" s="5">
        <f t="shared" si="1"/>
        <v>4</v>
      </c>
      <c r="K59" s="5">
        <v>3</v>
      </c>
    </row>
    <row r="60" spans="1:11" x14ac:dyDescent="0.25">
      <c r="A60" s="5">
        <v>59</v>
      </c>
      <c r="B60" s="4" t="s">
        <v>123</v>
      </c>
      <c r="C60" s="4" t="s">
        <v>33</v>
      </c>
      <c r="D60" s="4" t="s">
        <v>101</v>
      </c>
      <c r="E60" s="5">
        <v>4</v>
      </c>
      <c r="F60" s="5">
        <v>2</v>
      </c>
      <c r="G60" s="5">
        <v>2</v>
      </c>
      <c r="H60" s="5">
        <v>1</v>
      </c>
      <c r="I60" s="5">
        <v>1</v>
      </c>
      <c r="J60" s="5">
        <f t="shared" si="1"/>
        <v>6</v>
      </c>
      <c r="K60" s="5">
        <v>4</v>
      </c>
    </row>
    <row r="61" spans="1:11" x14ac:dyDescent="0.25">
      <c r="A61" s="5">
        <v>60</v>
      </c>
      <c r="B61" s="4" t="s">
        <v>120</v>
      </c>
      <c r="C61" s="4" t="s">
        <v>33</v>
      </c>
      <c r="D61" s="4" t="s">
        <v>99</v>
      </c>
      <c r="E61" s="5">
        <v>3</v>
      </c>
      <c r="F61" s="5">
        <v>1</v>
      </c>
      <c r="G61" s="5">
        <v>1</v>
      </c>
      <c r="H61" s="5">
        <v>1</v>
      </c>
      <c r="I61" s="5">
        <v>1</v>
      </c>
      <c r="J61" s="5">
        <f t="shared" si="1"/>
        <v>4</v>
      </c>
      <c r="K61" s="5">
        <v>3</v>
      </c>
    </row>
    <row r="62" spans="1:11" x14ac:dyDescent="0.25">
      <c r="A62" s="5">
        <v>61</v>
      </c>
      <c r="B62" s="4" t="s">
        <v>119</v>
      </c>
      <c r="C62" s="4" t="s">
        <v>33</v>
      </c>
      <c r="D62" s="4" t="s">
        <v>97</v>
      </c>
      <c r="E62" s="5">
        <v>2</v>
      </c>
      <c r="F62" s="5">
        <v>0</v>
      </c>
      <c r="G62" s="5">
        <v>0</v>
      </c>
      <c r="H62" s="5">
        <v>1</v>
      </c>
      <c r="I62" s="5">
        <v>2</v>
      </c>
      <c r="J62" s="5">
        <f t="shared" si="1"/>
        <v>3</v>
      </c>
      <c r="K62" s="5">
        <v>2</v>
      </c>
    </row>
    <row r="63" spans="1:11" x14ac:dyDescent="0.25">
      <c r="A63" s="5">
        <v>62</v>
      </c>
      <c r="B63" s="4" t="s">
        <v>121</v>
      </c>
      <c r="C63" s="4" t="s">
        <v>33</v>
      </c>
      <c r="D63" s="4" t="s">
        <v>93</v>
      </c>
      <c r="E63" s="5">
        <v>2</v>
      </c>
      <c r="F63" s="5">
        <v>0</v>
      </c>
      <c r="G63" s="5">
        <v>1</v>
      </c>
      <c r="H63" s="5">
        <v>1</v>
      </c>
      <c r="I63" s="5">
        <v>1</v>
      </c>
      <c r="J63" s="5">
        <f t="shared" si="1"/>
        <v>3</v>
      </c>
      <c r="K63" s="5">
        <v>2</v>
      </c>
    </row>
    <row r="64" spans="1:11" x14ac:dyDescent="0.25">
      <c r="A64" s="5">
        <v>63</v>
      </c>
      <c r="B64" s="4" t="s">
        <v>123</v>
      </c>
      <c r="C64" s="4" t="s">
        <v>33</v>
      </c>
      <c r="D64" s="4" t="s">
        <v>87</v>
      </c>
      <c r="E64" s="5">
        <v>3</v>
      </c>
      <c r="F64" s="5">
        <v>1</v>
      </c>
      <c r="G64" s="5">
        <v>1</v>
      </c>
      <c r="H64" s="5">
        <v>1</v>
      </c>
      <c r="I64" s="5">
        <v>1</v>
      </c>
      <c r="J64" s="5">
        <f t="shared" si="1"/>
        <v>4</v>
      </c>
      <c r="K64" s="5">
        <v>3</v>
      </c>
    </row>
    <row r="65" spans="1:11" x14ac:dyDescent="0.25">
      <c r="A65" s="5">
        <v>64</v>
      </c>
      <c r="B65" s="4" t="s">
        <v>123</v>
      </c>
      <c r="C65" s="4" t="s">
        <v>33</v>
      </c>
      <c r="D65" s="4" t="s">
        <v>92</v>
      </c>
      <c r="E65" s="5">
        <v>2</v>
      </c>
      <c r="F65" s="5">
        <v>0</v>
      </c>
      <c r="G65" s="5">
        <v>0</v>
      </c>
      <c r="H65" s="5">
        <v>1</v>
      </c>
      <c r="I65" s="5">
        <v>2</v>
      </c>
      <c r="J65" s="5">
        <f t="shared" si="1"/>
        <v>3</v>
      </c>
      <c r="K65" s="5">
        <v>2</v>
      </c>
    </row>
    <row r="66" spans="1:11" x14ac:dyDescent="0.25">
      <c r="A66" s="5">
        <v>65</v>
      </c>
      <c r="B66" s="4" t="s">
        <v>123</v>
      </c>
      <c r="C66" s="4" t="s">
        <v>33</v>
      </c>
      <c r="D66" s="4" t="s">
        <v>85</v>
      </c>
      <c r="E66" s="5">
        <v>2</v>
      </c>
      <c r="F66" s="5">
        <v>0</v>
      </c>
      <c r="G66" s="5">
        <v>0</v>
      </c>
      <c r="H66" s="5">
        <v>1</v>
      </c>
      <c r="I66" s="5">
        <v>1</v>
      </c>
      <c r="J66" s="5">
        <f t="shared" ref="J66:J89" si="2">SUM(F66:I66)</f>
        <v>2</v>
      </c>
      <c r="K66" s="5">
        <v>2</v>
      </c>
    </row>
    <row r="67" spans="1:11" x14ac:dyDescent="0.25">
      <c r="A67" s="5">
        <v>66</v>
      </c>
      <c r="B67" s="4" t="s">
        <v>119</v>
      </c>
      <c r="C67" s="4" t="s">
        <v>33</v>
      </c>
      <c r="D67" s="4" t="s">
        <v>86</v>
      </c>
      <c r="E67" s="5">
        <v>3</v>
      </c>
      <c r="F67" s="5">
        <v>1</v>
      </c>
      <c r="G67" s="5">
        <v>1</v>
      </c>
      <c r="H67" s="5">
        <v>1</v>
      </c>
      <c r="I67" s="5">
        <v>2</v>
      </c>
      <c r="J67" s="5">
        <f t="shared" si="2"/>
        <v>5</v>
      </c>
      <c r="K67" s="5">
        <v>3</v>
      </c>
    </row>
    <row r="68" spans="1:11" x14ac:dyDescent="0.25">
      <c r="A68" s="5">
        <v>67</v>
      </c>
      <c r="B68" s="4" t="s">
        <v>122</v>
      </c>
      <c r="C68" s="4" t="s">
        <v>33</v>
      </c>
      <c r="D68" s="4" t="s">
        <v>85</v>
      </c>
      <c r="E68" s="5">
        <v>2</v>
      </c>
      <c r="F68" s="5">
        <v>0</v>
      </c>
      <c r="G68" s="5">
        <v>0</v>
      </c>
      <c r="H68" s="5">
        <v>1</v>
      </c>
      <c r="I68" s="5">
        <v>1</v>
      </c>
      <c r="J68" s="5">
        <f t="shared" si="2"/>
        <v>2</v>
      </c>
      <c r="K68" s="5">
        <v>2</v>
      </c>
    </row>
    <row r="69" spans="1:11" x14ac:dyDescent="0.25">
      <c r="A69" s="5">
        <v>68</v>
      </c>
      <c r="B69" s="4" t="s">
        <v>124</v>
      </c>
      <c r="C69" s="4" t="s">
        <v>34</v>
      </c>
      <c r="D69" s="4" t="s">
        <v>91</v>
      </c>
      <c r="E69" s="5">
        <v>3</v>
      </c>
      <c r="F69" s="5">
        <v>1</v>
      </c>
      <c r="G69" s="5">
        <v>1</v>
      </c>
      <c r="H69" s="5">
        <v>1</v>
      </c>
      <c r="I69" s="5">
        <v>1</v>
      </c>
      <c r="J69" s="5">
        <f t="shared" si="2"/>
        <v>4</v>
      </c>
      <c r="K69" s="5">
        <v>3</v>
      </c>
    </row>
    <row r="70" spans="1:11" x14ac:dyDescent="0.25">
      <c r="A70" s="5">
        <v>69</v>
      </c>
      <c r="B70" s="4" t="s">
        <v>125</v>
      </c>
      <c r="C70" s="4" t="s">
        <v>34</v>
      </c>
      <c r="D70" s="4" t="s">
        <v>87</v>
      </c>
      <c r="E70" s="5">
        <v>3</v>
      </c>
      <c r="F70" s="5">
        <v>1</v>
      </c>
      <c r="G70" s="5">
        <v>1</v>
      </c>
      <c r="H70" s="5">
        <v>1</v>
      </c>
      <c r="I70" s="5">
        <v>1</v>
      </c>
      <c r="J70" s="5">
        <f t="shared" si="2"/>
        <v>4</v>
      </c>
      <c r="K70" s="5">
        <v>3</v>
      </c>
    </row>
    <row r="71" spans="1:11" x14ac:dyDescent="0.25">
      <c r="A71" s="5">
        <v>70</v>
      </c>
      <c r="B71" s="4" t="s">
        <v>126</v>
      </c>
      <c r="C71" s="4" t="s">
        <v>34</v>
      </c>
      <c r="D71" s="4" t="s">
        <v>83</v>
      </c>
      <c r="E71" s="5">
        <v>2</v>
      </c>
      <c r="F71" s="5">
        <v>0</v>
      </c>
      <c r="G71" s="5">
        <v>0</v>
      </c>
      <c r="H71" s="5">
        <v>1</v>
      </c>
      <c r="I71" s="5">
        <v>2</v>
      </c>
      <c r="J71" s="5">
        <f t="shared" si="2"/>
        <v>3</v>
      </c>
      <c r="K71" s="5">
        <v>2</v>
      </c>
    </row>
    <row r="72" spans="1:11" x14ac:dyDescent="0.25">
      <c r="A72" s="5">
        <v>71</v>
      </c>
      <c r="B72" s="4" t="s">
        <v>125</v>
      </c>
      <c r="C72" s="4" t="s">
        <v>34</v>
      </c>
      <c r="D72" s="4" t="s">
        <v>80</v>
      </c>
      <c r="E72" s="5">
        <v>2</v>
      </c>
      <c r="F72" s="5">
        <v>0</v>
      </c>
      <c r="G72" s="5">
        <v>0</v>
      </c>
      <c r="H72" s="5">
        <v>1</v>
      </c>
      <c r="I72" s="5">
        <v>2</v>
      </c>
      <c r="J72" s="5">
        <f t="shared" si="2"/>
        <v>3</v>
      </c>
      <c r="K72" s="5">
        <v>2</v>
      </c>
    </row>
    <row r="73" spans="1:11" x14ac:dyDescent="0.25">
      <c r="A73" s="5">
        <v>72</v>
      </c>
      <c r="B73" s="4" t="s">
        <v>127</v>
      </c>
      <c r="C73" s="4" t="s">
        <v>34</v>
      </c>
      <c r="D73" s="4" t="s">
        <v>118</v>
      </c>
      <c r="E73" s="5">
        <v>3</v>
      </c>
      <c r="F73" s="5">
        <v>2</v>
      </c>
      <c r="G73" s="5">
        <v>2</v>
      </c>
      <c r="H73" s="5">
        <v>1</v>
      </c>
      <c r="I73" s="5">
        <v>1</v>
      </c>
      <c r="J73" s="5">
        <f t="shared" si="2"/>
        <v>6</v>
      </c>
      <c r="K73" s="5">
        <v>4</v>
      </c>
    </row>
    <row r="74" spans="1:11" x14ac:dyDescent="0.25">
      <c r="A74" s="5">
        <v>73</v>
      </c>
      <c r="B74" s="4" t="s">
        <v>124</v>
      </c>
      <c r="C74" s="4" t="s">
        <v>34</v>
      </c>
      <c r="D74" s="4" t="s">
        <v>101</v>
      </c>
      <c r="E74" s="5">
        <v>4</v>
      </c>
      <c r="F74" s="5">
        <v>2</v>
      </c>
      <c r="G74" s="5">
        <v>2</v>
      </c>
      <c r="H74" s="5">
        <v>1</v>
      </c>
      <c r="I74" s="5">
        <v>1</v>
      </c>
      <c r="J74" s="5">
        <f t="shared" si="2"/>
        <v>6</v>
      </c>
      <c r="K74" s="5">
        <v>4</v>
      </c>
    </row>
    <row r="75" spans="1:11" x14ac:dyDescent="0.25">
      <c r="A75" s="5">
        <v>74</v>
      </c>
      <c r="B75" s="4" t="s">
        <v>127</v>
      </c>
      <c r="C75" s="4" t="s">
        <v>34</v>
      </c>
      <c r="D75" s="4" t="s">
        <v>87</v>
      </c>
      <c r="E75" s="5">
        <v>3</v>
      </c>
      <c r="F75" s="5">
        <v>1</v>
      </c>
      <c r="G75" s="5">
        <v>1</v>
      </c>
      <c r="H75" s="5">
        <v>1</v>
      </c>
      <c r="I75" s="5">
        <v>1</v>
      </c>
      <c r="J75" s="5">
        <f t="shared" si="2"/>
        <v>4</v>
      </c>
      <c r="K75" s="5">
        <v>3</v>
      </c>
    </row>
    <row r="76" spans="1:11" x14ac:dyDescent="0.25">
      <c r="A76" s="5">
        <v>75</v>
      </c>
      <c r="B76" s="4" t="s">
        <v>128</v>
      </c>
      <c r="C76" s="4" t="s">
        <v>35</v>
      </c>
      <c r="D76" s="4" t="s">
        <v>80</v>
      </c>
      <c r="E76" s="5">
        <v>4</v>
      </c>
      <c r="F76" s="5">
        <v>2</v>
      </c>
      <c r="G76" s="5">
        <v>1</v>
      </c>
      <c r="H76" s="5">
        <v>2</v>
      </c>
      <c r="I76" s="5">
        <v>2</v>
      </c>
      <c r="J76" s="5">
        <f t="shared" si="2"/>
        <v>7</v>
      </c>
      <c r="K76" s="5">
        <v>4</v>
      </c>
    </row>
    <row r="77" spans="1:11" x14ac:dyDescent="0.25">
      <c r="A77" s="5">
        <v>76</v>
      </c>
      <c r="B77" s="4" t="s">
        <v>129</v>
      </c>
      <c r="C77" s="4" t="s">
        <v>35</v>
      </c>
      <c r="D77" s="4" t="s">
        <v>99</v>
      </c>
      <c r="E77" s="5">
        <v>4</v>
      </c>
      <c r="F77" s="5">
        <v>1</v>
      </c>
      <c r="G77" s="5">
        <v>1</v>
      </c>
      <c r="H77" s="5">
        <v>1</v>
      </c>
      <c r="I77" s="5">
        <v>1</v>
      </c>
      <c r="J77" s="5">
        <f t="shared" si="2"/>
        <v>4</v>
      </c>
      <c r="K77" s="5">
        <v>3</v>
      </c>
    </row>
    <row r="78" spans="1:11" x14ac:dyDescent="0.25">
      <c r="A78" s="5">
        <v>77</v>
      </c>
      <c r="B78" s="4" t="s">
        <v>130</v>
      </c>
      <c r="C78" s="4" t="s">
        <v>35</v>
      </c>
      <c r="D78" s="4" t="s">
        <v>87</v>
      </c>
      <c r="E78" s="5">
        <v>3</v>
      </c>
      <c r="F78" s="5">
        <v>1</v>
      </c>
      <c r="G78" s="5">
        <v>1</v>
      </c>
      <c r="H78" s="5">
        <v>1</v>
      </c>
      <c r="I78" s="5">
        <v>1</v>
      </c>
      <c r="J78" s="5">
        <f t="shared" si="2"/>
        <v>4</v>
      </c>
      <c r="K78" s="5">
        <v>3</v>
      </c>
    </row>
    <row r="79" spans="1:11" x14ac:dyDescent="0.25">
      <c r="A79" s="5">
        <v>78</v>
      </c>
      <c r="B79" s="4" t="s">
        <v>130</v>
      </c>
      <c r="C79" s="4" t="s">
        <v>35</v>
      </c>
      <c r="D79" s="4" t="s">
        <v>91</v>
      </c>
      <c r="E79" s="5">
        <v>3</v>
      </c>
      <c r="F79" s="5">
        <v>1</v>
      </c>
      <c r="G79" s="5">
        <v>1</v>
      </c>
      <c r="H79" s="5">
        <v>1</v>
      </c>
      <c r="I79" s="5">
        <v>1</v>
      </c>
      <c r="J79" s="5">
        <f t="shared" si="2"/>
        <v>4</v>
      </c>
      <c r="K79" s="5">
        <v>3</v>
      </c>
    </row>
    <row r="80" spans="1:11" x14ac:dyDescent="0.25">
      <c r="A80" s="5">
        <v>79</v>
      </c>
      <c r="B80" s="4" t="s">
        <v>131</v>
      </c>
      <c r="C80" s="4" t="s">
        <v>35</v>
      </c>
      <c r="D80" s="4" t="s">
        <v>85</v>
      </c>
      <c r="E80" s="5">
        <v>3</v>
      </c>
      <c r="F80" s="5">
        <v>0</v>
      </c>
      <c r="G80" s="5">
        <v>0</v>
      </c>
      <c r="H80" s="5">
        <v>1</v>
      </c>
      <c r="I80" s="5">
        <v>1</v>
      </c>
      <c r="J80" s="5">
        <f t="shared" si="2"/>
        <v>2</v>
      </c>
      <c r="K80" s="5">
        <v>2</v>
      </c>
    </row>
    <row r="81" spans="1:11" x14ac:dyDescent="0.25">
      <c r="A81" s="5">
        <v>80</v>
      </c>
      <c r="B81" s="4" t="s">
        <v>128</v>
      </c>
      <c r="C81" s="4" t="s">
        <v>35</v>
      </c>
      <c r="D81" s="4" t="s">
        <v>101</v>
      </c>
      <c r="E81" s="5">
        <v>2</v>
      </c>
      <c r="F81" s="5">
        <v>1</v>
      </c>
      <c r="G81" s="5">
        <v>1</v>
      </c>
      <c r="H81" s="5">
        <v>1</v>
      </c>
      <c r="I81" s="5">
        <v>0</v>
      </c>
      <c r="J81" s="5">
        <f t="shared" si="2"/>
        <v>3</v>
      </c>
      <c r="K81" s="5">
        <v>2</v>
      </c>
    </row>
    <row r="82" spans="1:11" x14ac:dyDescent="0.25">
      <c r="A82" s="5">
        <v>81</v>
      </c>
      <c r="B82" s="4" t="s">
        <v>131</v>
      </c>
      <c r="C82" s="4" t="s">
        <v>35</v>
      </c>
      <c r="D82" s="4" t="s">
        <v>97</v>
      </c>
      <c r="E82" s="5">
        <v>3</v>
      </c>
      <c r="F82" s="5">
        <v>0</v>
      </c>
      <c r="G82" s="5">
        <v>0</v>
      </c>
      <c r="H82" s="5">
        <v>1</v>
      </c>
      <c r="I82" s="5">
        <v>2</v>
      </c>
      <c r="J82" s="5">
        <f t="shared" si="2"/>
        <v>3</v>
      </c>
      <c r="K82" s="5">
        <v>2</v>
      </c>
    </row>
    <row r="83" spans="1:11" x14ac:dyDescent="0.25">
      <c r="A83" s="5">
        <v>82</v>
      </c>
      <c r="B83" s="4" t="s">
        <v>131</v>
      </c>
      <c r="C83" s="4" t="s">
        <v>35</v>
      </c>
      <c r="D83" s="4" t="s">
        <v>99</v>
      </c>
      <c r="E83" s="5">
        <v>4</v>
      </c>
      <c r="F83" s="5">
        <v>0</v>
      </c>
      <c r="G83" s="5">
        <v>0</v>
      </c>
      <c r="H83" s="5">
        <v>1</v>
      </c>
      <c r="I83" s="5">
        <v>1</v>
      </c>
      <c r="J83" s="5">
        <f t="shared" si="2"/>
        <v>2</v>
      </c>
      <c r="K83" s="5">
        <v>2</v>
      </c>
    </row>
    <row r="84" spans="1:11" x14ac:dyDescent="0.25">
      <c r="A84" s="5">
        <v>83</v>
      </c>
      <c r="B84" s="4" t="s">
        <v>130</v>
      </c>
      <c r="C84" s="4" t="s">
        <v>35</v>
      </c>
      <c r="D84" s="4" t="s">
        <v>97</v>
      </c>
      <c r="E84" s="5">
        <v>3</v>
      </c>
      <c r="F84" s="5">
        <v>0</v>
      </c>
      <c r="G84" s="5">
        <v>0</v>
      </c>
      <c r="H84" s="5">
        <v>1</v>
      </c>
      <c r="I84" s="5">
        <v>2</v>
      </c>
      <c r="J84" s="5">
        <f t="shared" si="2"/>
        <v>3</v>
      </c>
      <c r="K84" s="5">
        <v>2</v>
      </c>
    </row>
    <row r="85" spans="1:11" x14ac:dyDescent="0.25">
      <c r="A85" s="5">
        <v>84</v>
      </c>
      <c r="B85" s="4" t="s">
        <v>132</v>
      </c>
      <c r="C85" s="4" t="s">
        <v>35</v>
      </c>
      <c r="D85" s="4" t="s">
        <v>86</v>
      </c>
      <c r="E85" s="5">
        <v>3</v>
      </c>
      <c r="F85" s="5">
        <v>0</v>
      </c>
      <c r="G85" s="5">
        <v>0</v>
      </c>
      <c r="H85" s="5">
        <v>1</v>
      </c>
      <c r="I85" s="5">
        <v>2</v>
      </c>
      <c r="J85" s="5">
        <f t="shared" si="2"/>
        <v>3</v>
      </c>
      <c r="K85" s="5">
        <v>2</v>
      </c>
    </row>
    <row r="86" spans="1:11" x14ac:dyDescent="0.25">
      <c r="A86" s="5">
        <v>85</v>
      </c>
      <c r="B86" s="4" t="s">
        <v>131</v>
      </c>
      <c r="C86" s="4" t="s">
        <v>35</v>
      </c>
      <c r="D86" s="4" t="s">
        <v>93</v>
      </c>
      <c r="E86" s="5">
        <v>3</v>
      </c>
      <c r="F86" s="5">
        <v>0</v>
      </c>
      <c r="G86" s="5">
        <v>0</v>
      </c>
      <c r="H86" s="5">
        <v>1</v>
      </c>
      <c r="I86" s="5">
        <v>1</v>
      </c>
      <c r="J86" s="5">
        <f t="shared" si="2"/>
        <v>2</v>
      </c>
      <c r="K86" s="5">
        <v>2</v>
      </c>
    </row>
    <row r="87" spans="1:11" x14ac:dyDescent="0.25">
      <c r="A87" s="5">
        <v>86</v>
      </c>
      <c r="B87" s="4" t="s">
        <v>133</v>
      </c>
      <c r="C87" s="4" t="s">
        <v>35</v>
      </c>
      <c r="D87" s="4" t="s">
        <v>80</v>
      </c>
      <c r="E87" s="5">
        <v>4</v>
      </c>
      <c r="F87" s="5">
        <v>0</v>
      </c>
      <c r="G87" s="5">
        <v>0</v>
      </c>
      <c r="H87" s="5">
        <v>1</v>
      </c>
      <c r="I87" s="5">
        <v>2</v>
      </c>
      <c r="J87" s="5">
        <f t="shared" si="2"/>
        <v>3</v>
      </c>
      <c r="K87" s="5">
        <v>2</v>
      </c>
    </row>
    <row r="88" spans="1:11" x14ac:dyDescent="0.25">
      <c r="A88" s="5">
        <v>87</v>
      </c>
      <c r="B88" s="4" t="s">
        <v>132</v>
      </c>
      <c r="C88" s="4" t="s">
        <v>35</v>
      </c>
      <c r="D88" s="4" t="s">
        <v>87</v>
      </c>
      <c r="E88" s="5">
        <v>3</v>
      </c>
      <c r="F88" s="5">
        <v>0</v>
      </c>
      <c r="G88" s="5">
        <v>0</v>
      </c>
      <c r="H88" s="5">
        <v>1</v>
      </c>
      <c r="I88" s="5">
        <v>1</v>
      </c>
      <c r="J88" s="5">
        <f t="shared" si="2"/>
        <v>2</v>
      </c>
      <c r="K88" s="5">
        <v>2</v>
      </c>
    </row>
    <row r="89" spans="1:11" x14ac:dyDescent="0.25">
      <c r="A89" s="5">
        <v>88</v>
      </c>
      <c r="B89" s="4" t="s">
        <v>133</v>
      </c>
      <c r="C89" s="4" t="s">
        <v>35</v>
      </c>
      <c r="D89" s="4" t="s">
        <v>92</v>
      </c>
      <c r="E89" s="5">
        <v>4</v>
      </c>
      <c r="F89" s="5">
        <v>0</v>
      </c>
      <c r="G89" s="5">
        <v>0</v>
      </c>
      <c r="H89" s="5">
        <v>1</v>
      </c>
      <c r="I89" s="5">
        <v>2</v>
      </c>
      <c r="J89" s="5">
        <f t="shared" si="2"/>
        <v>3</v>
      </c>
      <c r="K89" s="5">
        <v>2</v>
      </c>
    </row>
  </sheetData>
  <autoFilter ref="A1:K89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Data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Data: second-pass scoring of the 88-cell reliability subsample</dc:title>
  <dc:subject/>
  <dc:creator>Roozbeh Pourjahan</dc:creator>
  <cp:keywords>Roozbeh Pourjhan</cp:keywords>
  <dc:description/>
  <cp:lastModifiedBy>Ruzbe</cp:lastModifiedBy>
  <cp:revision>0</cp:revision>
  <dcterms:created xsi:type="dcterms:W3CDTF">2026-10-16T08:43:13Z</dcterms:created>
  <dcterms:modified xsi:type="dcterms:W3CDTF">2026-10-17T10:18:06Z</dcterms:modified>
  <dc:language>en-US</dc:language>
</cp:coreProperties>
</file>